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Plan - Approved" sheetId="1" r:id="rId4"/>
    <sheet state="visible" name="EVM" sheetId="2" r:id="rId5"/>
    <sheet state="visible" name="EV WORKSHEET" sheetId="3" r:id="rId6"/>
    <sheet state="visible" name="ACTUALS" sheetId="4" r:id="rId7"/>
  </sheets>
  <externalReferences>
    <externalReference r:id="rId8"/>
    <externalReference r:id="rId9"/>
  </externalReferences>
  <definedNames>
    <definedName name="Deploy">'[1]Phase 1 DPSD'!$B$25:$B$29</definedName>
    <definedName name="Design">'[1]Phase 1 DPSD'!$B$10:$B$21</definedName>
    <definedName localSheetId="3" name="FW">'[2]EV WORKSHEET'!$I$20</definedName>
    <definedName name="PFS">'[1]Phase 1 DPSD'!$B$6:$B$8</definedName>
    <definedName name="Validate">'[1]Phase 1 DPSD'!$B$23</definedName>
    <definedName name="VSTS_ca0d9927_1768_40fa_bb5c_3f5eb02544bc_2">#REF!</definedName>
    <definedName name="Hourly_Rate">EVM!$D$5</definedName>
    <definedName localSheetId="2" name="VSTS_ca0d9927_1768_40fa_bb5c_3f5eb02544bc_1">#REF!</definedName>
    <definedName name="VSTS_ca0d9927_1768_40fa_bb5c_3f5eb02544bc_80">#REF!</definedName>
    <definedName localSheetId="3" name="Hourly_Rate">EVM!$D$5</definedName>
    <definedName name="VSTS_ca0d9927_1768_40fa_bb5c_3f5eb02544bc_1">#REF!</definedName>
    <definedName name="FW">'EV WORKSHEET'!$I$20</definedName>
    <definedName name="Week">'EV WORKSHEET'!$L$14</definedName>
    <definedName localSheetId="2" name="VSTS_ca0d9927_1768_40fa_bb5c_3f5eb02544bc_25">#REF!</definedName>
    <definedName localSheetId="2" name="VSTS_ca0d9927_1768_40fa_bb5c_3f5eb02544bc_2">#REF!</definedName>
    <definedName name="VSTS_ca0d9927_1768_40fa_bb5c_3f5eb02544bc_n3">#REF!</definedName>
    <definedName localSheetId="2" name="VSTS_ca0d9927_1768_40fa_bb5c_3f5eb02544bc_n3">#REF!</definedName>
    <definedName localSheetId="2" name="VSTS_ca0d9927_1768_40fa_bb5c_3f5eb02544bc_10008">#REF!</definedName>
    <definedName localSheetId="2" name="VSTS_ca0d9927_1768_40fa_bb5c_3f5eb02544bc_24">#REF!</definedName>
    <definedName localSheetId="2" name="VSTS_ca0d9927_1768_40fa_bb5c_3f5eb02544bc_10018">#REF!</definedName>
    <definedName name="VSTS_ca0d9927_1768_40fa_bb5c_3f5eb02544bc_24">#REF!</definedName>
    <definedName localSheetId="2" name="VSTS_ca0d9927_1768_40fa_bb5c_3f5eb02544bc_80">#REF!</definedName>
    <definedName name="VSTS_ca0d9927_1768_40fa_bb5c_3f5eb02544bc_25">#REF!</definedName>
    <definedName name="VSTS_ca0d9927_1768_40fa_bb5c_3f5eb02544bc_10008">#REF!</definedName>
    <definedName name="VSTS_ca0d9927_1768_40fa_bb5c_3f5eb02544bc_10018">#REF!</definedName>
    <definedName hidden="1" localSheetId="3" name="_xlnm._FilterDatabase">ACTUALS!$A$1:$R$97</definedName>
  </definedNames>
  <calcPr/>
  <extLst>
    <ext uri="GoogleSheetsCustomDataVersion2">
      <go:sheetsCustomData xmlns:go="http://customooxmlschemas.google.com/" r:id="rId10" roundtripDataChecksum="+fzPwxLW6zbSm95X/Y0aiQw+wF9i2Mc9Yr9V4EmJX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5">
      <text>
        <t xml:space="preserve">======
ID#AAAAhDwGgmk
Agustin Galindo    (2022-09-27 20:55:04)
Delta from Project's PFS</t>
      </text>
    </comment>
  </commentList>
  <extLst>
    <ext uri="GoogleSheetsCustomDataVersion2">
      <go:sheetsCustomData xmlns:go="http://customooxmlschemas.google.com/" r:id="rId1" roundtripDataSignature="AMtx7mjtQCm9Mh7P2FLomZTD2scOJJjexQ=="/>
    </ext>
  </extLst>
</comments>
</file>

<file path=xl/sharedStrings.xml><?xml version="1.0" encoding="utf-8"?>
<sst xmlns="http://schemas.openxmlformats.org/spreadsheetml/2006/main" count="373" uniqueCount="133">
  <si>
    <t>Resource Plan</t>
  </si>
  <si>
    <t>DEV</t>
  </si>
  <si>
    <t>UAT</t>
  </si>
  <si>
    <t>TTT</t>
  </si>
  <si>
    <t>REL</t>
  </si>
  <si>
    <t>SS</t>
  </si>
  <si>
    <t>PFS11</t>
  </si>
  <si>
    <t>PFS12</t>
  </si>
  <si>
    <t>PFS13</t>
  </si>
  <si>
    <t>PFS14</t>
  </si>
  <si>
    <t>PFS15</t>
  </si>
  <si>
    <t>WK22</t>
  </si>
  <si>
    <t>WK23</t>
  </si>
  <si>
    <t>WK24</t>
  </si>
  <si>
    <t>WK25</t>
  </si>
  <si>
    <t>WK26</t>
  </si>
  <si>
    <t>WK27</t>
  </si>
  <si>
    <t>WK28</t>
  </si>
  <si>
    <t>Total Hours</t>
  </si>
  <si>
    <t>Total Expense</t>
  </si>
  <si>
    <t>Resource</t>
  </si>
  <si>
    <t>Type</t>
  </si>
  <si>
    <t>Role</t>
  </si>
  <si>
    <t>Rate</t>
  </si>
  <si>
    <t>Planned</t>
  </si>
  <si>
    <t>Oscar Sadder</t>
  </si>
  <si>
    <t>OnShore</t>
  </si>
  <si>
    <t>PD</t>
  </si>
  <si>
    <t>Agustin Galindo</t>
  </si>
  <si>
    <t>PM</t>
  </si>
  <si>
    <t>Scott Soulgares</t>
  </si>
  <si>
    <t>BA</t>
  </si>
  <si>
    <t>Vladimir Belomenstnov</t>
  </si>
  <si>
    <t>Mounica Chadaram</t>
  </si>
  <si>
    <t>Kris Wiklund</t>
  </si>
  <si>
    <t>Naveem Jeevanandam</t>
  </si>
  <si>
    <t>Manuel Gahona</t>
  </si>
  <si>
    <t>Total OnShore Hours per Week</t>
  </si>
  <si>
    <t>Total Resource Hours</t>
  </si>
  <si>
    <t>Total OnShore Expense</t>
  </si>
  <si>
    <t>Total OffShore Expense</t>
  </si>
  <si>
    <t>Available Budget as of 07/28</t>
  </si>
  <si>
    <t>CR</t>
  </si>
  <si>
    <t>Aprox</t>
  </si>
  <si>
    <t>Fill in Weeks</t>
  </si>
  <si>
    <t>Fill in Week Numbers</t>
  </si>
  <si>
    <t>Fill in Rates</t>
  </si>
  <si>
    <t>Fill in Types</t>
  </si>
  <si>
    <t>Fill in Names</t>
  </si>
  <si>
    <t>Use Copy/Insert Copied Columns to extend weeks</t>
  </si>
  <si>
    <t>Use Copy/Insert Copied Rows to Add more resources</t>
  </si>
  <si>
    <t>Add forecasted hours</t>
  </si>
  <si>
    <t>PERIOD</t>
  </si>
  <si>
    <t>ID</t>
  </si>
  <si>
    <t>DELIVERABLE TITLE</t>
  </si>
  <si>
    <t>Task Rate</t>
  </si>
  <si>
    <t>Total Budget</t>
  </si>
  <si>
    <t>Project Management / Oversight</t>
  </si>
  <si>
    <t>x</t>
  </si>
  <si>
    <t>Functional Workstream - CRM Configuration</t>
  </si>
  <si>
    <t>Portal Configuration</t>
  </si>
  <si>
    <t>Training</t>
  </si>
  <si>
    <t>TOTAL BUDGETED HOURS</t>
  </si>
  <si>
    <t>BAC</t>
  </si>
  <si>
    <t>TOTAL BUDGETED COST</t>
  </si>
  <si>
    <t>PV</t>
  </si>
  <si>
    <t>CUMLATIVE PLANNED VALUE</t>
  </si>
  <si>
    <t>ACTUAL COST</t>
  </si>
  <si>
    <t>WORK ENDING</t>
  </si>
  <si>
    <t>(ONSHORE) ACTUAL HOURS</t>
  </si>
  <si>
    <t>(ONSHORE) ACTUAL COST</t>
  </si>
  <si>
    <t>(OFFSHORE) ACTUAL HOURS</t>
  </si>
  <si>
    <t>(OFFSHORE) ACTUAL COST</t>
  </si>
  <si>
    <t>AC</t>
  </si>
  <si>
    <t>CUMULATIVE ACTUAL COST</t>
  </si>
  <si>
    <t>EARNED VALUE</t>
  </si>
  <si>
    <t>EV</t>
  </si>
  <si>
    <t>CUMULATIVE EARNED VALUE</t>
  </si>
  <si>
    <t>PROJECT PERFORMANCE METRICS</t>
  </si>
  <si>
    <t>CV</t>
  </si>
  <si>
    <t>COST VARIANCE</t>
  </si>
  <si>
    <t>( EV – AC )</t>
  </si>
  <si>
    <t>SV</t>
  </si>
  <si>
    <t>SCHEDULE VARIANCE</t>
  </si>
  <si>
    <t>( EV – PV )</t>
  </si>
  <si>
    <t>CPI</t>
  </si>
  <si>
    <t>COST PERFORMANCE INDEX</t>
  </si>
  <si>
    <t>( EV / AC )</t>
  </si>
  <si>
    <t>SPI</t>
  </si>
  <si>
    <t>SCHEDULE PERFORMANCE INDEX</t>
  </si>
  <si>
    <t>( EV / PV )</t>
  </si>
  <si>
    <t>EAC</t>
  </si>
  <si>
    <t>ESTIMATED COST AT COMPLETION</t>
  </si>
  <si>
    <t>A cost performance index higher than 1.0 indicates that the project is costing less than expected; one that’s less than 1.0 indicates a project that’s costing more than expected.</t>
  </si>
  <si>
    <t>A schedule performance index higher than 1.0 indicates that the project is ahead of schedule; one that’s below 1.0 indicates that it’s running behind schedule.</t>
  </si>
  <si>
    <t>Setup:</t>
  </si>
  <si>
    <t>Fill in Deliverable Titles</t>
  </si>
  <si>
    <t>Use Copy/Insert Copied Rows to Deliverable Titles</t>
  </si>
  <si>
    <t>Plot Forecasted hours against Deliverables</t>
  </si>
  <si>
    <t>Confirm Total Budgeted hours = Total Resource Weekly Totals</t>
  </si>
  <si>
    <t>Weekly:</t>
  </si>
  <si>
    <t>** Relies on Weekly Actuals to be updated first</t>
  </si>
  <si>
    <t>Copy EVM calculations from previous week to current week</t>
  </si>
  <si>
    <t>Update Chart Data</t>
  </si>
  <si>
    <t>Confirm Titles, Weeks, Budget colums/rows copied correctly</t>
  </si>
  <si>
    <t>Update % Complete for the week per Deliverable</t>
  </si>
  <si>
    <t>Functional</t>
  </si>
  <si>
    <t>Wkst1</t>
  </si>
  <si>
    <t>** Relies on Project Plan to be updated</t>
  </si>
  <si>
    <t>Wkst2</t>
  </si>
  <si>
    <t>Wkst3</t>
  </si>
  <si>
    <t>Wkst4</t>
  </si>
  <si>
    <t>Wkst5</t>
  </si>
  <si>
    <t>Wkst6</t>
  </si>
  <si>
    <t>Wkst7</t>
  </si>
  <si>
    <t>Employee</t>
  </si>
  <si>
    <t>Task</t>
  </si>
  <si>
    <t>Mon</t>
  </si>
  <si>
    <t>Tue</t>
  </si>
  <si>
    <t>Wed</t>
  </si>
  <si>
    <t>Thu</t>
  </si>
  <si>
    <t>Fri</t>
  </si>
  <si>
    <t>Sat</t>
  </si>
  <si>
    <t>Sun</t>
  </si>
  <si>
    <t>Total</t>
  </si>
  <si>
    <t>Week Ending</t>
  </si>
  <si>
    <t>Billable</t>
  </si>
  <si>
    <t xml:space="preserve">Agustin Galindo                                             </t>
  </si>
  <si>
    <t xml:space="preserve">Mounica Chadaram                                            </t>
  </si>
  <si>
    <t xml:space="preserve">Scott Soulages                                              </t>
  </si>
  <si>
    <t xml:space="preserve">Vladimir Belomestnov                                        </t>
  </si>
  <si>
    <t xml:space="preserve">Kris Wilklund                                               </t>
  </si>
  <si>
    <t xml:space="preserve">Naveen Kumar Jeevanandam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</si>
</sst>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m/d/yy"/>
  </numFmts>
  <fonts count="28">
    <font>
      <sz val="11.0"/>
      <color theme="1"/>
      <name val="Calibri"/>
      <scheme val="minor"/>
    </font>
    <font>
      <sz val="9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i/>
      <sz val="11.0"/>
      <color theme="1"/>
      <name val="Calibri"/>
    </font>
    <font>
      <b/>
      <sz val="11.0"/>
      <color rgb="FF000000"/>
      <name val="Calibri"/>
    </font>
    <font>
      <b/>
      <sz val="9.0"/>
      <color theme="1"/>
      <name val="Calibri"/>
    </font>
    <font>
      <b/>
      <i/>
      <sz val="11.0"/>
      <color theme="1"/>
      <name val="Calibri"/>
    </font>
    <font>
      <sz val="10.0"/>
      <color rgb="FFA5A5A5"/>
      <name val="Calibri"/>
    </font>
    <font>
      <b/>
      <sz val="12.0"/>
      <color rgb="FF1E4E79"/>
      <name val="Calibri"/>
    </font>
    <font>
      <b/>
      <sz val="10.0"/>
      <color theme="0"/>
      <name val="Calibri"/>
    </font>
    <font/>
    <font>
      <b/>
      <sz val="8.0"/>
      <color rgb="FFFFFFFF"/>
      <name val="Calibri"/>
    </font>
    <font>
      <sz val="10.0"/>
      <color theme="0"/>
      <name val="Calibri"/>
    </font>
    <font>
      <sz val="10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rgb="FF000000"/>
      <name val="Century Gothic"/>
    </font>
    <font>
      <b/>
      <sz val="10.0"/>
      <color theme="0"/>
      <name val="Century Gothic"/>
    </font>
    <font>
      <sz val="10.0"/>
      <color rgb="FF000000"/>
      <name val="Tahoma"/>
    </font>
  </fonts>
  <fills count="24">
    <fill>
      <patternFill patternType="none"/>
    </fill>
    <fill>
      <patternFill patternType="lightGray"/>
    </fill>
    <fill>
      <patternFill patternType="solid">
        <fgColor rgb="FF60045C"/>
        <bgColor rgb="FF60045C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525252"/>
        <bgColor rgb="FF525252"/>
      </patternFill>
    </fill>
    <fill>
      <patternFill patternType="solid">
        <fgColor rgb="FFBFBFBF"/>
        <bgColor rgb="FFBFBFBF"/>
      </patternFill>
    </fill>
    <fill>
      <patternFill patternType="solid">
        <fgColor rgb="FF7030A0"/>
        <bgColor rgb="FF7030A0"/>
      </patternFill>
    </fill>
    <fill>
      <patternFill patternType="solid">
        <fgColor rgb="FF669E40"/>
        <bgColor rgb="FF669E40"/>
      </patternFill>
    </fill>
    <fill>
      <patternFill patternType="solid">
        <fgColor rgb="FFC5E0B3"/>
        <bgColor rgb="FFC5E0B3"/>
      </patternFill>
    </fill>
    <fill>
      <patternFill patternType="solid">
        <fgColor rgb="FF2F5496"/>
        <bgColor rgb="FF2F5496"/>
      </patternFill>
    </fill>
    <fill>
      <patternFill patternType="solid">
        <fgColor rgb="FFA5A5A5"/>
        <bgColor rgb="FFA5A5A5"/>
      </patternFill>
    </fill>
    <fill>
      <patternFill patternType="solid">
        <fgColor rgb="FF1F3864"/>
        <bgColor rgb="FF1F3864"/>
      </patternFill>
    </fill>
    <fill>
      <patternFill patternType="solid">
        <fgColor rgb="FF333F4F"/>
        <bgColor rgb="FF333F4F"/>
      </patternFill>
    </fill>
    <fill>
      <patternFill patternType="solid">
        <fgColor rgb="FF44546A"/>
        <bgColor rgb="FF44546A"/>
      </patternFill>
    </fill>
    <fill>
      <patternFill patternType="solid">
        <fgColor rgb="FF707071"/>
        <bgColor rgb="FF707071"/>
      </patternFill>
    </fill>
    <fill>
      <patternFill patternType="solid">
        <fgColor rgb="FF222A35"/>
        <bgColor rgb="FF222A35"/>
      </patternFill>
    </fill>
    <fill>
      <patternFill patternType="solid">
        <fgColor rgb="FF757070"/>
        <bgColor rgb="FF757070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</fills>
  <borders count="55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thin">
        <color rgb="FFA5A5A5"/>
      </top>
      <bottom style="thin">
        <color rgb="FFA5A5A5"/>
      </bottom>
    </border>
    <border>
      <left style="thin">
        <color rgb="FFA5A5A5"/>
      </left>
      <top/>
      <bottom/>
    </border>
    <border>
      <top/>
      <bottom/>
    </border>
    <border>
      <right/>
      <top/>
      <bottom/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/>
      <top style="thin">
        <color rgb="FFA5A5A5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/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/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2" fontId="4" numFmtId="164" xfId="0" applyAlignment="1" applyBorder="1" applyFill="1" applyFont="1" applyNumberFormat="1">
      <alignment horizontal="center" vertical="center"/>
    </xf>
    <xf borderId="1" fillId="2" fontId="5" numFmtId="164" xfId="0" applyAlignment="1" applyBorder="1" applyFont="1" applyNumberFormat="1">
      <alignment horizontal="center" vertical="center"/>
    </xf>
    <xf borderId="2" fillId="2" fontId="4" numFmtId="164" xfId="0" applyAlignment="1" applyBorder="1" applyFont="1" applyNumberFormat="1">
      <alignment horizontal="center" vertical="center"/>
    </xf>
    <xf borderId="3" fillId="2" fontId="4" numFmtId="164" xfId="0" applyAlignment="1" applyBorder="1" applyFont="1" applyNumberFormat="1">
      <alignment horizontal="center" vertical="center"/>
    </xf>
    <xf borderId="4" fillId="0" fontId="3" numFmtId="0" xfId="0" applyBorder="1" applyFont="1"/>
    <xf borderId="4" fillId="0" fontId="3" numFmtId="165" xfId="0" applyBorder="1" applyFont="1" applyNumberFormat="1"/>
    <xf borderId="5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8" fillId="3" fontId="6" numFmtId="165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6" fillId="3" fontId="6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right" vertical="center"/>
    </xf>
    <xf borderId="18" fillId="0" fontId="1" numFmtId="0" xfId="0" applyBorder="1" applyFont="1"/>
    <xf borderId="19" fillId="4" fontId="1" numFmtId="166" xfId="0" applyBorder="1" applyFill="1" applyFont="1" applyNumberFormat="1"/>
    <xf borderId="2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25" fillId="0" fontId="8" numFmtId="165" xfId="0" applyBorder="1" applyFont="1" applyNumberFormat="1"/>
    <xf borderId="5" fillId="0" fontId="9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vertical="center"/>
    </xf>
    <xf borderId="30" fillId="0" fontId="9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32" fillId="0" fontId="10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1" numFmtId="0" xfId="0" applyBorder="1" applyFont="1"/>
    <xf borderId="22" fillId="0" fontId="11" numFmtId="0" xfId="0" applyAlignment="1" applyBorder="1" applyFont="1">
      <alignment horizontal="right"/>
    </xf>
    <xf borderId="35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25" fillId="0" fontId="8" numFmtId="1" xfId="0" applyAlignment="1" applyBorder="1" applyFont="1" applyNumberFormat="1">
      <alignment horizontal="center" vertical="center"/>
    </xf>
    <xf borderId="36" fillId="0" fontId="3" numFmtId="0" xfId="0" applyBorder="1" applyFont="1"/>
    <xf borderId="37" fillId="0" fontId="1" numFmtId="0" xfId="0" applyBorder="1" applyFont="1"/>
    <xf borderId="31" fillId="0" fontId="11" numFmtId="0" xfId="0" applyAlignment="1" applyBorder="1" applyFont="1">
      <alignment horizontal="right"/>
    </xf>
    <xf borderId="25" fillId="0" fontId="8" numFmtId="0" xfId="0" applyAlignment="1" applyBorder="1" applyFont="1">
      <alignment horizontal="center" vertical="center"/>
    </xf>
    <xf borderId="19" fillId="5" fontId="3" numFmtId="0" xfId="0" applyBorder="1" applyFill="1" applyFont="1"/>
    <xf borderId="1" fillId="5" fontId="13" numFmtId="0" xfId="0" applyBorder="1" applyFont="1"/>
    <xf borderId="1" fillId="5" fontId="1" numFmtId="0" xfId="0" applyBorder="1" applyFont="1"/>
    <xf borderId="38" fillId="5" fontId="14" numFmtId="0" xfId="0" applyAlignment="1" applyBorder="1" applyFont="1">
      <alignment horizontal="right"/>
    </xf>
    <xf borderId="35" fillId="5" fontId="12" numFmtId="0" xfId="0" applyAlignment="1" applyBorder="1" applyFont="1">
      <alignment horizontal="center" vertical="center"/>
    </xf>
    <xf borderId="39" fillId="5" fontId="12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2" fillId="0" fontId="8" numFmtId="165" xfId="0" applyBorder="1" applyFont="1" applyNumberFormat="1"/>
    <xf borderId="35" fillId="0" fontId="12" numFmtId="165" xfId="0" applyAlignment="1" applyBorder="1" applyFont="1" applyNumberFormat="1">
      <alignment horizontal="center" vertical="center"/>
    </xf>
    <xf borderId="35" fillId="0" fontId="3" numFmtId="165" xfId="0" applyBorder="1" applyFont="1" applyNumberFormat="1"/>
    <xf borderId="9" fillId="0" fontId="12" numFmtId="165" xfId="0" applyAlignment="1" applyBorder="1" applyFont="1" applyNumberFormat="1">
      <alignment horizontal="center" vertical="center"/>
    </xf>
    <xf borderId="35" fillId="0" fontId="3" numFmtId="0" xfId="0" applyBorder="1" applyFont="1"/>
    <xf borderId="40" fillId="5" fontId="3" numFmtId="0" xfId="0" applyBorder="1" applyFont="1"/>
    <xf borderId="41" fillId="5" fontId="1" numFmtId="0" xfId="0" applyBorder="1" applyFont="1"/>
    <xf borderId="42" fillId="5" fontId="14" numFmtId="0" xfId="0" applyAlignment="1" applyBorder="1" applyFont="1">
      <alignment horizontal="right"/>
    </xf>
    <xf borderId="35" fillId="5" fontId="12" numFmtId="165" xfId="0" applyAlignment="1" applyBorder="1" applyFont="1" applyNumberFormat="1">
      <alignment horizontal="center" vertical="center"/>
    </xf>
    <xf borderId="43" fillId="5" fontId="3" numFmtId="0" xfId="0" applyBorder="1" applyFont="1"/>
    <xf borderId="0" fillId="0" fontId="3" numFmtId="0" xfId="0" applyAlignment="1" applyFont="1">
      <alignment horizontal="center"/>
    </xf>
    <xf borderId="0" fillId="0" fontId="3" numFmtId="1" xfId="0" applyFont="1" applyNumberFormat="1"/>
    <xf borderId="0" fillId="0" fontId="3" numFmtId="16" xfId="0" applyFont="1" applyNumberFormat="1"/>
    <xf borderId="0" fillId="0" fontId="3" numFmtId="0" xfId="0" applyFont="1"/>
    <xf borderId="0" fillId="0" fontId="10" numFmtId="0" xfId="0" applyAlignment="1" applyFont="1">
      <alignment horizontal="center" vertical="center"/>
    </xf>
    <xf borderId="0" fillId="0" fontId="15" numFmtId="0" xfId="0" applyFont="1"/>
    <xf borderId="44" fillId="6" fontId="16" numFmtId="0" xfId="0" applyAlignment="1" applyBorder="1" applyFill="1" applyFont="1">
      <alignment horizontal="left"/>
    </xf>
    <xf borderId="45" fillId="7" fontId="17" numFmtId="0" xfId="0" applyAlignment="1" applyBorder="1" applyFill="1" applyFont="1">
      <alignment horizontal="center" shrinkToFit="0" vertical="center" wrapText="1"/>
    </xf>
    <xf borderId="46" fillId="0" fontId="18" numFmtId="0" xfId="0" applyBorder="1" applyFont="1"/>
    <xf borderId="47" fillId="0" fontId="18" numFmtId="0" xfId="0" applyBorder="1" applyFont="1"/>
    <xf borderId="1" fillId="7" fontId="17" numFmtId="0" xfId="0" applyAlignment="1" applyBorder="1" applyFont="1">
      <alignment horizontal="center" shrinkToFit="0" vertical="center" wrapText="1"/>
    </xf>
    <xf borderId="48" fillId="7" fontId="17" numFmtId="0" xfId="0" applyAlignment="1" applyBorder="1" applyFont="1">
      <alignment horizontal="left" shrinkToFit="0" vertical="center" wrapText="1"/>
    </xf>
    <xf borderId="48" fillId="7" fontId="17" numFmtId="0" xfId="0" applyAlignment="1" applyBorder="1" applyFont="1">
      <alignment horizontal="center" shrinkToFit="0" vertical="center" wrapText="1"/>
    </xf>
    <xf borderId="49" fillId="7" fontId="17" numFmtId="0" xfId="0" applyAlignment="1" applyBorder="1" applyFont="1">
      <alignment horizontal="center" shrinkToFit="0" vertical="center" wrapText="1"/>
    </xf>
    <xf borderId="50" fillId="2" fontId="19" numFmtId="164" xfId="0" applyAlignment="1" applyBorder="1" applyFont="1" applyNumberFormat="1">
      <alignment horizontal="center" vertical="center"/>
    </xf>
    <xf borderId="51" fillId="0" fontId="18" numFmtId="0" xfId="0" applyBorder="1" applyFont="1"/>
    <xf borderId="52" fillId="0" fontId="18" numFmtId="0" xfId="0" applyBorder="1" applyFont="1"/>
    <xf borderId="53" fillId="8" fontId="17" numFmtId="0" xfId="0" applyAlignment="1" applyBorder="1" applyFill="1" applyFont="1">
      <alignment horizontal="center" shrinkToFit="0" vertical="center" wrapText="1"/>
    </xf>
    <xf borderId="53" fillId="0" fontId="10" numFmtId="0" xfId="0" applyAlignment="1" applyBorder="1" applyFont="1">
      <alignment horizontal="left" vertical="center"/>
    </xf>
    <xf borderId="53" fillId="5" fontId="10" numFmtId="165" xfId="0" applyAlignment="1" applyBorder="1" applyFont="1" applyNumberFormat="1">
      <alignment horizontal="center" readingOrder="1" shrinkToFit="0" vertical="center" wrapText="1"/>
    </xf>
    <xf borderId="53" fillId="8" fontId="20" numFmtId="165" xfId="0" applyAlignment="1" applyBorder="1" applyFont="1" applyNumberFormat="1">
      <alignment horizontal="center" readingOrder="1" shrinkToFit="0" vertical="center" wrapText="1"/>
    </xf>
    <xf borderId="53" fillId="0" fontId="21" numFmtId="0" xfId="0" applyAlignment="1" applyBorder="1" applyFont="1">
      <alignment horizontal="left" readingOrder="1" shrinkToFit="0" vertical="center" wrapText="1"/>
    </xf>
    <xf borderId="53" fillId="9" fontId="17" numFmtId="0" xfId="0" applyAlignment="1" applyBorder="1" applyFill="1" applyFont="1">
      <alignment horizontal="left" shrinkToFit="0" vertical="center" wrapText="1"/>
    </xf>
    <xf borderId="53" fillId="7" fontId="17" numFmtId="0" xfId="0" applyAlignment="1" applyBorder="1" applyFont="1">
      <alignment horizontal="right" shrinkToFit="0" vertical="center" wrapText="1"/>
    </xf>
    <xf borderId="53" fillId="9" fontId="20" numFmtId="0" xfId="0" applyAlignment="1" applyBorder="1" applyFont="1">
      <alignment horizontal="right" vertical="center"/>
    </xf>
    <xf borderId="53" fillId="7" fontId="20" numFmtId="0" xfId="0" applyAlignment="1" applyBorder="1" applyFont="1">
      <alignment horizontal="right" vertical="center"/>
    </xf>
    <xf borderId="53" fillId="9" fontId="20" numFmtId="166" xfId="0" applyAlignment="1" applyBorder="1" applyFont="1" applyNumberFormat="1">
      <alignment horizontal="left" vertical="center"/>
    </xf>
    <xf borderId="53" fillId="7" fontId="20" numFmtId="165" xfId="0" applyAlignment="1" applyBorder="1" applyFont="1" applyNumberFormat="1">
      <alignment horizontal="left" vertical="center"/>
    </xf>
    <xf borderId="53" fillId="9" fontId="17" numFmtId="0" xfId="0" applyAlignment="1" applyBorder="1" applyFont="1">
      <alignment horizontal="right" shrinkToFit="0" vertical="center" wrapText="1"/>
    </xf>
    <xf borderId="53" fillId="10" fontId="22" numFmtId="165" xfId="0" applyAlignment="1" applyBorder="1" applyFill="1" applyFont="1" applyNumberFormat="1">
      <alignment shrinkToFit="0" wrapText="1"/>
    </xf>
    <xf borderId="53" fillId="9" fontId="20" numFmtId="165" xfId="0" applyAlignment="1" applyBorder="1" applyFont="1" applyNumberFormat="1">
      <alignment horizontal="left" vertical="center"/>
    </xf>
    <xf borderId="0" fillId="0" fontId="23" numFmtId="0" xfId="0" applyFont="1"/>
    <xf borderId="54" fillId="11" fontId="17" numFmtId="0" xfId="0" applyAlignment="1" applyBorder="1" applyFill="1" applyFont="1">
      <alignment horizontal="right" shrinkToFit="0" vertical="center" wrapText="1"/>
    </xf>
    <xf borderId="54" fillId="11" fontId="17" numFmtId="0" xfId="0" applyAlignment="1" applyBorder="1" applyFont="1">
      <alignment horizontal="right" vertical="center"/>
    </xf>
    <xf borderId="1" fillId="11" fontId="3" numFmtId="0" xfId="0" applyBorder="1" applyFont="1"/>
    <xf borderId="53" fillId="12" fontId="17" numFmtId="0" xfId="0" applyAlignment="1" applyBorder="1" applyFill="1" applyFont="1">
      <alignment horizontal="right" shrinkToFit="0" vertical="center" wrapText="1"/>
    </xf>
    <xf borderId="53" fillId="12" fontId="17" numFmtId="0" xfId="0" applyAlignment="1" applyBorder="1" applyFont="1">
      <alignment horizontal="right" vertical="center"/>
    </xf>
    <xf borderId="53" fillId="12" fontId="20" numFmtId="0" xfId="0" applyAlignment="1" applyBorder="1" applyFont="1">
      <alignment horizontal="right" vertical="center"/>
    </xf>
    <xf borderId="53" fillId="12" fontId="20" numFmtId="166" xfId="0" applyAlignment="1" applyBorder="1" applyFont="1" applyNumberFormat="1">
      <alignment horizontal="right" vertical="center"/>
    </xf>
    <xf borderId="53" fillId="12" fontId="20" numFmtId="165" xfId="0" applyAlignment="1" applyBorder="1" applyFont="1" applyNumberFormat="1">
      <alignment horizontal="left" vertical="center"/>
    </xf>
    <xf borderId="53" fillId="13" fontId="24" numFmtId="0" xfId="0" applyAlignment="1" applyBorder="1" applyFill="1" applyFont="1">
      <alignment horizontal="right" shrinkToFit="0" vertical="center" wrapText="1"/>
    </xf>
    <xf borderId="53" fillId="13" fontId="24" numFmtId="0" xfId="0" applyAlignment="1" applyBorder="1" applyFont="1">
      <alignment horizontal="right" vertical="center"/>
    </xf>
    <xf borderId="53" fillId="13" fontId="10" numFmtId="0" xfId="0" applyAlignment="1" applyBorder="1" applyFont="1">
      <alignment horizontal="right" vertical="center"/>
    </xf>
    <xf borderId="53" fillId="13" fontId="10" numFmtId="166" xfId="0" applyAlignment="1" applyBorder="1" applyFont="1" applyNumberFormat="1">
      <alignment horizontal="right" vertical="center"/>
    </xf>
    <xf borderId="53" fillId="13" fontId="10" numFmtId="165" xfId="0" applyAlignment="1" applyBorder="1" applyFont="1" applyNumberFormat="1">
      <alignment horizontal="left" vertical="center"/>
    </xf>
    <xf borderId="53" fillId="9" fontId="17" numFmtId="0" xfId="0" applyAlignment="1" applyBorder="1" applyFont="1">
      <alignment horizontal="right" vertical="center"/>
    </xf>
    <xf borderId="53" fillId="14" fontId="17" numFmtId="0" xfId="0" applyAlignment="1" applyBorder="1" applyFill="1" applyFont="1">
      <alignment horizontal="right" vertical="center"/>
    </xf>
    <xf borderId="53" fillId="15" fontId="17" numFmtId="0" xfId="0" applyAlignment="1" applyBorder="1" applyFill="1" applyFont="1">
      <alignment horizontal="left" shrinkToFit="0" vertical="center" wrapText="1"/>
    </xf>
    <xf borderId="53" fillId="16" fontId="20" numFmtId="165" xfId="0" applyAlignment="1" applyBorder="1" applyFill="1" applyFont="1" applyNumberFormat="1">
      <alignment horizontal="left" vertical="center"/>
    </xf>
    <xf borderId="1" fillId="6" fontId="22" numFmtId="0" xfId="0" applyAlignment="1" applyBorder="1" applyFont="1">
      <alignment shrinkToFit="0" wrapText="1"/>
    </xf>
    <xf borderId="1" fillId="6" fontId="10" numFmtId="0" xfId="0" applyAlignment="1" applyBorder="1" applyFont="1">
      <alignment shrinkToFit="0" wrapText="1"/>
    </xf>
    <xf borderId="1" fillId="6" fontId="10" numFmtId="0" xfId="0" applyBorder="1" applyFont="1"/>
    <xf borderId="53" fillId="17" fontId="17" numFmtId="0" xfId="0" applyAlignment="1" applyBorder="1" applyFill="1" applyFont="1">
      <alignment horizontal="left" shrinkToFit="0" vertical="center" wrapText="1"/>
    </xf>
    <xf borderId="53" fillId="18" fontId="17" numFmtId="0" xfId="0" applyAlignment="1" applyBorder="1" applyFill="1" applyFont="1">
      <alignment horizontal="right" vertical="center"/>
    </xf>
    <xf borderId="53" fillId="19" fontId="17" numFmtId="0" xfId="0" applyAlignment="1" applyBorder="1" applyFill="1" applyFont="1">
      <alignment horizontal="center" shrinkToFit="0" vertical="center" wrapText="1"/>
    </xf>
    <xf borderId="53" fillId="17" fontId="20" numFmtId="165" xfId="0" applyAlignment="1" applyBorder="1" applyFont="1" applyNumberFormat="1">
      <alignment horizontal="left" vertical="center"/>
    </xf>
    <xf borderId="53" fillId="17" fontId="20" numFmtId="2" xfId="0" applyAlignment="1" applyBorder="1" applyFont="1" applyNumberFormat="1">
      <alignment horizontal="center" vertical="center"/>
    </xf>
    <xf borderId="53" fillId="20" fontId="17" numFmtId="0" xfId="0" applyAlignment="1" applyBorder="1" applyFill="1" applyFont="1">
      <alignment horizontal="left" shrinkToFit="0" vertical="center" wrapText="1"/>
    </xf>
    <xf borderId="53" fillId="17" fontId="17" numFmtId="0" xfId="0" applyAlignment="1" applyBorder="1" applyFont="1">
      <alignment horizontal="right" vertical="center"/>
    </xf>
    <xf borderId="53" fillId="10" fontId="17" numFmtId="0" xfId="0" applyAlignment="1" applyBorder="1" applyFont="1">
      <alignment horizontal="left" shrinkToFit="0" vertical="center" wrapText="1"/>
    </xf>
    <xf borderId="53" fillId="20" fontId="20" numFmtId="166" xfId="0" applyAlignment="1" applyBorder="1" applyFont="1" applyNumberFormat="1">
      <alignment horizontal="left" vertical="center"/>
    </xf>
    <xf borderId="0" fillId="0" fontId="24" numFmtId="0" xfId="0" applyAlignment="1" applyFont="1">
      <alignment horizontal="left" vertical="center"/>
    </xf>
    <xf borderId="0" fillId="0" fontId="8" numFmtId="0" xfId="0" applyFont="1"/>
    <xf borderId="45" fillId="18" fontId="17" numFmtId="0" xfId="0" applyAlignment="1" applyBorder="1" applyFon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48" fillId="18" fontId="17" numFmtId="0" xfId="0" applyAlignment="1" applyBorder="1" applyFont="1">
      <alignment horizontal="left" shrinkToFit="0" vertical="center" wrapText="1"/>
    </xf>
    <xf borderId="48" fillId="18" fontId="17" numFmtId="0" xfId="0" applyAlignment="1" applyBorder="1" applyFont="1">
      <alignment horizontal="center" shrinkToFit="0" vertical="center" wrapText="1"/>
    </xf>
    <xf borderId="49" fillId="18" fontId="17" numFmtId="0" xfId="0" applyAlignment="1" applyBorder="1" applyFont="1">
      <alignment horizontal="center" shrinkToFit="0" vertical="center" wrapText="1"/>
    </xf>
    <xf borderId="53" fillId="18" fontId="17" numFmtId="0" xfId="0" applyAlignment="1" applyBorder="1" applyFont="1">
      <alignment horizontal="center" shrinkToFit="0" vertical="center" wrapText="1"/>
    </xf>
    <xf borderId="0" fillId="0" fontId="3" numFmtId="9" xfId="0" applyAlignment="1" applyFont="1" applyNumberFormat="1">
      <alignment readingOrder="0"/>
    </xf>
    <xf borderId="0" fillId="0" fontId="3" numFmtId="9" xfId="0" applyFont="1" applyNumberFormat="1"/>
    <xf borderId="53" fillId="0" fontId="25" numFmtId="9" xfId="0" applyAlignment="1" applyBorder="1" applyFont="1" applyNumberFormat="1">
      <alignment horizontal="center" readingOrder="1" shrinkToFit="0" vertical="center" wrapText="1"/>
    </xf>
    <xf borderId="0" fillId="0" fontId="3" numFmtId="0" xfId="0" applyAlignment="1" applyFont="1">
      <alignment readingOrder="0"/>
    </xf>
    <xf borderId="53" fillId="18" fontId="26" numFmtId="0" xfId="0" applyAlignment="1" applyBorder="1" applyFont="1">
      <alignment horizontal="left" shrinkToFit="0" vertical="center" wrapText="1"/>
    </xf>
    <xf borderId="53" fillId="18" fontId="26" numFmtId="0" xfId="0" applyAlignment="1" applyBorder="1" applyFont="1">
      <alignment horizontal="right" shrinkToFit="0" vertical="center" wrapText="1"/>
    </xf>
    <xf borderId="53" fillId="21" fontId="20" numFmtId="165" xfId="0" applyAlignment="1" applyBorder="1" applyFill="1" applyFont="1" applyNumberFormat="1">
      <alignment horizontal="right" vertical="center"/>
    </xf>
    <xf borderId="53" fillId="18" fontId="20" numFmtId="166" xfId="0" applyAlignment="1" applyBorder="1" applyFont="1" applyNumberFormat="1">
      <alignment horizontal="right" vertical="center"/>
    </xf>
    <xf borderId="0" fillId="0" fontId="3" numFmtId="166" xfId="0" applyFont="1" applyNumberFormat="1"/>
    <xf borderId="0" fillId="0" fontId="3" numFmtId="165" xfId="0" applyFont="1" applyNumberFormat="1"/>
    <xf borderId="0" fillId="0" fontId="3" numFmtId="10" xfId="0" applyFont="1" applyNumberFormat="1"/>
    <xf borderId="1" fillId="5" fontId="8" numFmtId="0" xfId="0" applyBorder="1" applyFont="1"/>
    <xf borderId="1" fillId="5" fontId="8" numFmtId="0" xfId="0" applyAlignment="1" applyBorder="1" applyFont="1">
      <alignment horizontal="center" vertical="center"/>
    </xf>
    <xf borderId="1" fillId="22" fontId="8" numFmtId="0" xfId="0" applyAlignment="1" applyBorder="1" applyFill="1" applyFont="1">
      <alignment horizontal="center" vertical="center"/>
    </xf>
    <xf borderId="1" fillId="5" fontId="8" numFmtId="167" xfId="0" applyAlignment="1" applyBorder="1" applyFont="1" applyNumberFormat="1">
      <alignment horizontal="center"/>
    </xf>
    <xf borderId="1" fillId="5" fontId="8" numFmtId="166" xfId="0" applyBorder="1" applyFont="1" applyNumberFormat="1"/>
    <xf borderId="1" fillId="5" fontId="3" numFmtId="0" xfId="0" applyBorder="1" applyFont="1"/>
    <xf borderId="0" fillId="0" fontId="27" numFmtId="0" xfId="0" applyAlignment="1" applyFont="1">
      <alignment horizontal="left" readingOrder="1" shrinkToFit="0" vertical="top" wrapText="1"/>
    </xf>
    <xf borderId="0" fillId="0" fontId="3" numFmtId="14" xfId="0" applyFont="1" applyNumberFormat="1"/>
    <xf borderId="1" fillId="3" fontId="3" numFmtId="0" xfId="0" applyBorder="1" applyFont="1"/>
    <xf borderId="1" fillId="3" fontId="3" numFmtId="166" xfId="0" applyBorder="1" applyFont="1" applyNumberFormat="1"/>
    <xf borderId="0" fillId="0" fontId="3" numFmtId="167" xfId="0" applyFont="1" applyNumberFormat="1"/>
    <xf borderId="1" fillId="23" fontId="3" numFmtId="0" xfId="0" applyBorder="1" applyFill="1" applyFont="1"/>
    <xf borderId="1" fillId="22" fontId="3" numFmtId="0" xfId="0" applyBorder="1" applyFont="1"/>
    <xf borderId="1" fillId="22" fontId="8" numFmtId="2" xfId="0" applyBorder="1" applyFont="1" applyNumberFormat="1"/>
    <xf borderId="1" fillId="22" fontId="3" numFmtId="167" xfId="0" applyBorder="1" applyFont="1" applyNumberFormat="1"/>
    <xf borderId="0" fillId="0" fontId="27" numFmtId="0" xfId="0" applyAlignment="1" applyFont="1">
      <alignment horizontal="right" readingOrder="1" shrinkToFit="0" vertical="top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475430248588073"/>
          <c:y val="0.10236220472440945"/>
          <c:w val="0.7846670406334881"/>
          <c:h val="0.7598425196850394"/>
        </c:manualLayout>
      </c:layout>
      <c:lineChart>
        <c:ser>
          <c:idx val="0"/>
          <c:order val="0"/>
          <c:tx>
            <c:v>Planned Value</c:v>
          </c:tx>
          <c:spPr>
            <a:ln cmpd="sng">
              <a:solidFill>
                <a:srgbClr val="00B0F0"/>
              </a:solidFill>
            </a:ln>
          </c:spPr>
          <c:marker>
            <c:symbol val="circle"/>
            <c:size val="6"/>
            <c:spPr>
              <a:solidFill>
                <a:srgbClr val="00B0F0"/>
              </a:solidFill>
              <a:ln cmpd="sng">
                <a:solidFill>
                  <a:srgbClr val="00B0F0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EVM!$F$3:$G$3</c:f>
            </c:strRef>
          </c:cat>
          <c:val>
            <c:numRef>
              <c:f>EVM!$F$11:$G$11</c:f>
              <c:numCache/>
            </c:numRef>
          </c:val>
          <c:smooth val="0"/>
        </c:ser>
        <c:ser>
          <c:idx val="1"/>
          <c:order val="1"/>
          <c:tx>
            <c:v>Cummulative Cost</c:v>
          </c:tx>
          <c:spPr>
            <a:ln cmpd="sng" w="19050">
              <a:solidFill>
                <a:srgbClr val="C0000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EVM!$F$3:$G$3</c:f>
            </c:strRef>
          </c:cat>
          <c:val>
            <c:numRef>
              <c:f>EVM!$F$19:$G$19</c:f>
              <c:numCache/>
            </c:numRef>
          </c:val>
          <c:smooth val="0"/>
        </c:ser>
        <c:ser>
          <c:idx val="2"/>
          <c:order val="2"/>
          <c:tx>
            <c:v>Earned Value</c:v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EVM!$F$3:$G$3</c:f>
            </c:strRef>
          </c:cat>
          <c:val>
            <c:numRef>
              <c:f>EVM!$F$22:$G$22</c:f>
              <c:numCache/>
            </c:numRef>
          </c:val>
          <c:smooth val="0"/>
        </c:ser>
        <c:axId val="143422264"/>
        <c:axId val="1469028775"/>
      </c:lineChart>
      <c:catAx>
        <c:axId val="143422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layout>
            <c:manualLayout>
              <c:xMode val="edge"/>
              <c:yMode val="edge"/>
              <c:x val="0.47541060099727966"/>
              <c:y val="0.7677165354330708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69028775"/>
      </c:catAx>
      <c:valAx>
        <c:axId val="1469028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3422264"/>
      </c:valAx>
    </c:plotArea>
    <c:legend>
      <c:legendPos val="r"/>
      <c:layout>
        <c:manualLayout>
          <c:xMode val="edge"/>
          <c:yMode val="edge"/>
          <c:x val="0.14389818758993922"/>
          <c:y val="0.0905511811023622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-1514475</xdr:colOff>
      <xdr:row>34</xdr:row>
      <xdr:rowOff>180975</xdr:rowOff>
    </xdr:from>
    <xdr:ext cx="22212300" cy="3952875"/>
    <xdr:graphicFrame>
      <xdr:nvGraphicFramePr>
        <xdr:cNvPr id="91214494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clo365-my.sharepoint.com/personal/beth_angelo_powerobjects_com/Documents/Documents/Pepsi/PepsiCo%20PPGA%20Resource%20Planning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hclo365.sharepoint.com/sites/HCLProjectSCoRE/Shared%20Documents/1%20-%20Project%20Management/EVM%20-%20Resource%20Plan/HCL%20PnP%20-%20EVM%20-%20PFS%20AG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affing Forecast"/>
      <sheetName val="Phase 1 DPSD"/>
      <sheetName val="Other Note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ource Plan - Approved"/>
      <sheetName val="EVM"/>
      <sheetName val="EV WORKSHEE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.71"/>
    <col customWidth="1" min="3" max="3" width="5.57"/>
    <col customWidth="1" min="4" max="4" width="8.29"/>
    <col customWidth="1" min="5" max="10" width="8.71"/>
    <col customWidth="1" min="11" max="11" width="9.71"/>
    <col customWidth="1" min="12" max="20" width="9.14"/>
    <col customWidth="1" hidden="1" min="21" max="26" width="9.14"/>
    <col customWidth="1" min="27" max="27" width="10.57"/>
    <col customWidth="1" min="28" max="28" width="13.71"/>
    <col customWidth="1" min="29" max="32" width="8.71"/>
  </cols>
  <sheetData>
    <row r="1">
      <c r="B1" s="1"/>
      <c r="C1" s="1"/>
      <c r="D1" s="1"/>
    </row>
    <row r="2">
      <c r="B2" s="1"/>
      <c r="C2" s="1"/>
      <c r="D2" s="1"/>
    </row>
    <row r="3">
      <c r="A3" s="2" t="s">
        <v>0</v>
      </c>
      <c r="B3" s="1"/>
      <c r="C3" s="1"/>
      <c r="D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/>
      <c r="B4" s="6"/>
      <c r="C4" s="6"/>
      <c r="D4" s="6"/>
      <c r="E4" s="7">
        <v>43675.0</v>
      </c>
      <c r="F4" s="7">
        <f t="shared" ref="F4:Z4" si="1">E4+7</f>
        <v>43682</v>
      </c>
      <c r="G4" s="7">
        <f t="shared" si="1"/>
        <v>43689</v>
      </c>
      <c r="H4" s="7">
        <f t="shared" si="1"/>
        <v>43696</v>
      </c>
      <c r="I4" s="7">
        <f t="shared" si="1"/>
        <v>43703</v>
      </c>
      <c r="J4" s="7">
        <f t="shared" si="1"/>
        <v>43710</v>
      </c>
      <c r="K4" s="7">
        <f t="shared" si="1"/>
        <v>43717</v>
      </c>
      <c r="L4" s="7">
        <f t="shared" si="1"/>
        <v>43724</v>
      </c>
      <c r="M4" s="7">
        <f t="shared" si="1"/>
        <v>43731</v>
      </c>
      <c r="N4" s="7">
        <f t="shared" si="1"/>
        <v>43738</v>
      </c>
      <c r="O4" s="7">
        <f t="shared" si="1"/>
        <v>43745</v>
      </c>
      <c r="P4" s="7">
        <f t="shared" si="1"/>
        <v>43752</v>
      </c>
      <c r="Q4" s="7">
        <f t="shared" si="1"/>
        <v>43759</v>
      </c>
      <c r="R4" s="7">
        <f t="shared" si="1"/>
        <v>43766</v>
      </c>
      <c r="S4" s="7">
        <f t="shared" si="1"/>
        <v>43773</v>
      </c>
      <c r="T4" s="7">
        <f t="shared" si="1"/>
        <v>43780</v>
      </c>
      <c r="U4" s="8">
        <f t="shared" si="1"/>
        <v>43787</v>
      </c>
      <c r="V4" s="8">
        <f t="shared" si="1"/>
        <v>43794</v>
      </c>
      <c r="W4" s="8">
        <f t="shared" si="1"/>
        <v>43801</v>
      </c>
      <c r="X4" s="8">
        <f t="shared" si="1"/>
        <v>43808</v>
      </c>
      <c r="Y4" s="8">
        <f t="shared" si="1"/>
        <v>43815</v>
      </c>
      <c r="Z4" s="8">
        <f t="shared" si="1"/>
        <v>43822</v>
      </c>
      <c r="AA4" s="9"/>
      <c r="AB4" s="10"/>
    </row>
    <row r="5">
      <c r="B5" s="1"/>
      <c r="C5" s="1"/>
      <c r="D5" s="1"/>
      <c r="E5" s="11" t="s">
        <v>1</v>
      </c>
      <c r="F5" s="12" t="s">
        <v>1</v>
      </c>
      <c r="G5" s="12" t="s">
        <v>2</v>
      </c>
      <c r="H5" s="12" t="s">
        <v>2</v>
      </c>
      <c r="I5" s="12" t="s">
        <v>3</v>
      </c>
      <c r="J5" s="12" t="s">
        <v>4</v>
      </c>
      <c r="K5" s="12" t="s">
        <v>5</v>
      </c>
      <c r="L5" s="12" t="s">
        <v>5</v>
      </c>
      <c r="M5" s="12" t="s">
        <v>5</v>
      </c>
      <c r="N5" s="12" t="s">
        <v>5</v>
      </c>
      <c r="O5" s="12" t="s">
        <v>6</v>
      </c>
      <c r="P5" s="12" t="s">
        <v>7</v>
      </c>
      <c r="Q5" s="12" t="s">
        <v>8</v>
      </c>
      <c r="R5" s="12" t="s">
        <v>9</v>
      </c>
      <c r="S5" s="12" t="s">
        <v>10</v>
      </c>
      <c r="T5" s="13" t="s">
        <v>11</v>
      </c>
      <c r="U5" s="13" t="s">
        <v>12</v>
      </c>
      <c r="V5" s="12" t="s">
        <v>13</v>
      </c>
      <c r="W5" s="12" t="s">
        <v>14</v>
      </c>
      <c r="X5" s="12" t="s">
        <v>15</v>
      </c>
      <c r="Y5" s="13" t="s">
        <v>16</v>
      </c>
      <c r="Z5" s="12" t="s">
        <v>17</v>
      </c>
      <c r="AA5" s="14" t="s">
        <v>18</v>
      </c>
      <c r="AB5" s="15" t="s">
        <v>19</v>
      </c>
    </row>
    <row r="6">
      <c r="A6" s="16" t="s">
        <v>20</v>
      </c>
      <c r="B6" s="17" t="s">
        <v>21</v>
      </c>
      <c r="C6" s="18" t="s">
        <v>22</v>
      </c>
      <c r="D6" s="18" t="s">
        <v>23</v>
      </c>
      <c r="E6" s="19" t="s">
        <v>24</v>
      </c>
      <c r="F6" s="20" t="s">
        <v>24</v>
      </c>
      <c r="G6" s="20" t="s">
        <v>24</v>
      </c>
      <c r="H6" s="20" t="s">
        <v>24</v>
      </c>
      <c r="I6" s="20" t="s">
        <v>24</v>
      </c>
      <c r="J6" s="20" t="s">
        <v>24</v>
      </c>
      <c r="K6" s="20" t="s">
        <v>24</v>
      </c>
      <c r="L6" s="20" t="s">
        <v>24</v>
      </c>
      <c r="M6" s="20" t="s">
        <v>24</v>
      </c>
      <c r="N6" s="21" t="s">
        <v>24</v>
      </c>
      <c r="O6" s="22" t="s">
        <v>24</v>
      </c>
      <c r="P6" s="22" t="s">
        <v>24</v>
      </c>
      <c r="Q6" s="22" t="s">
        <v>24</v>
      </c>
      <c r="R6" s="23" t="s">
        <v>24</v>
      </c>
      <c r="S6" s="22" t="s">
        <v>24</v>
      </c>
      <c r="T6" s="23" t="s">
        <v>24</v>
      </c>
      <c r="U6" s="23" t="s">
        <v>24</v>
      </c>
      <c r="V6" s="22" t="s">
        <v>24</v>
      </c>
      <c r="W6" s="22" t="s">
        <v>24</v>
      </c>
      <c r="X6" s="22" t="s">
        <v>24</v>
      </c>
      <c r="Y6" s="23" t="s">
        <v>24</v>
      </c>
      <c r="Z6" s="22" t="s">
        <v>24</v>
      </c>
      <c r="AA6" s="14"/>
      <c r="AB6" s="15"/>
    </row>
    <row r="7">
      <c r="A7" s="24" t="s">
        <v>25</v>
      </c>
      <c r="B7" s="25" t="s">
        <v>26</v>
      </c>
      <c r="C7" s="1" t="s">
        <v>27</v>
      </c>
      <c r="D7" s="26">
        <v>165.0</v>
      </c>
      <c r="E7" s="27">
        <v>2.0</v>
      </c>
      <c r="F7" s="28">
        <v>2.0</v>
      </c>
      <c r="G7" s="28">
        <v>2.0</v>
      </c>
      <c r="H7" s="28">
        <v>2.0</v>
      </c>
      <c r="I7" s="28">
        <v>2.0</v>
      </c>
      <c r="J7" s="28">
        <v>2.0</v>
      </c>
      <c r="K7" s="28">
        <v>2.0</v>
      </c>
      <c r="L7" s="28">
        <v>2.0</v>
      </c>
      <c r="M7" s="28">
        <v>2.0</v>
      </c>
      <c r="N7" s="29">
        <v>2.0</v>
      </c>
      <c r="O7" s="30"/>
      <c r="P7" s="31"/>
      <c r="Q7" s="31"/>
      <c r="R7" s="31"/>
      <c r="S7" s="31"/>
      <c r="T7" s="31"/>
      <c r="U7" s="32"/>
      <c r="V7" s="32"/>
      <c r="W7" s="32"/>
      <c r="X7" s="32"/>
      <c r="Y7" s="32"/>
      <c r="Z7" s="32"/>
      <c r="AA7" s="33">
        <f t="shared" ref="AA7:AA14" si="2">SUM(E7:T7)</f>
        <v>20</v>
      </c>
      <c r="AB7" s="34">
        <f>AA7*Hourly_Rate</f>
        <v>3300</v>
      </c>
    </row>
    <row r="8">
      <c r="A8" s="24" t="s">
        <v>28</v>
      </c>
      <c r="B8" s="25" t="s">
        <v>26</v>
      </c>
      <c r="C8" s="1" t="s">
        <v>29</v>
      </c>
      <c r="D8" s="26">
        <v>165.0</v>
      </c>
      <c r="E8" s="35">
        <v>10.0</v>
      </c>
      <c r="F8" s="36">
        <v>10.0</v>
      </c>
      <c r="G8" s="36">
        <v>10.0</v>
      </c>
      <c r="H8" s="36">
        <v>10.0</v>
      </c>
      <c r="I8" s="36">
        <v>10.0</v>
      </c>
      <c r="J8" s="36">
        <v>10.0</v>
      </c>
      <c r="K8" s="36">
        <v>10.0</v>
      </c>
      <c r="L8" s="36">
        <v>10.0</v>
      </c>
      <c r="M8" s="36">
        <v>10.0</v>
      </c>
      <c r="N8" s="37">
        <v>10.0</v>
      </c>
      <c r="O8" s="38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3">
        <f t="shared" si="2"/>
        <v>100</v>
      </c>
      <c r="AB8" s="34">
        <f>AA8*Hourly_Rate</f>
        <v>16500</v>
      </c>
    </row>
    <row r="9">
      <c r="A9" s="24" t="s">
        <v>30</v>
      </c>
      <c r="B9" s="25" t="s">
        <v>26</v>
      </c>
      <c r="C9" s="1" t="s">
        <v>31</v>
      </c>
      <c r="D9" s="26">
        <v>165.0</v>
      </c>
      <c r="E9" s="35">
        <v>8.0</v>
      </c>
      <c r="F9" s="36">
        <v>20.0</v>
      </c>
      <c r="G9" s="36">
        <v>10.0</v>
      </c>
      <c r="H9" s="36">
        <v>10.0</v>
      </c>
      <c r="I9" s="36">
        <v>10.0</v>
      </c>
      <c r="J9" s="36">
        <v>10.0</v>
      </c>
      <c r="K9" s="36">
        <v>10.0</v>
      </c>
      <c r="L9" s="36">
        <v>10.0</v>
      </c>
      <c r="M9" s="36">
        <v>10.0</v>
      </c>
      <c r="N9" s="37">
        <v>10.0</v>
      </c>
      <c r="O9" s="38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3">
        <f t="shared" si="2"/>
        <v>108</v>
      </c>
      <c r="AB9" s="34">
        <f>AA9*Hourly_Rate</f>
        <v>17820</v>
      </c>
    </row>
    <row r="10">
      <c r="A10" s="24" t="s">
        <v>32</v>
      </c>
      <c r="B10" s="25" t="s">
        <v>26</v>
      </c>
      <c r="C10" s="1" t="s">
        <v>1</v>
      </c>
      <c r="D10" s="26">
        <v>165.0</v>
      </c>
      <c r="E10" s="35">
        <v>10.0</v>
      </c>
      <c r="F10" s="36">
        <v>20.0</v>
      </c>
      <c r="G10" s="36">
        <v>10.0</v>
      </c>
      <c r="H10" s="36">
        <v>10.0</v>
      </c>
      <c r="I10" s="36">
        <v>10.0</v>
      </c>
      <c r="J10" s="36">
        <v>10.0</v>
      </c>
      <c r="K10" s="36">
        <v>10.0</v>
      </c>
      <c r="L10" s="36">
        <v>10.0</v>
      </c>
      <c r="M10" s="36">
        <v>10.0</v>
      </c>
      <c r="N10" s="37">
        <v>10.0</v>
      </c>
      <c r="O10" s="38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>
        <f t="shared" si="2"/>
        <v>110</v>
      </c>
      <c r="AB10" s="34">
        <f>AA10*Hourly_Rate</f>
        <v>18150</v>
      </c>
    </row>
    <row r="11">
      <c r="A11" s="24" t="s">
        <v>33</v>
      </c>
      <c r="B11" s="25" t="s">
        <v>26</v>
      </c>
      <c r="C11" s="1" t="s">
        <v>1</v>
      </c>
      <c r="D11" s="26">
        <v>165.0</v>
      </c>
      <c r="E11" s="35">
        <v>10.0</v>
      </c>
      <c r="F11" s="39"/>
      <c r="G11" s="39"/>
      <c r="H11" s="39"/>
      <c r="I11" s="39"/>
      <c r="J11" s="39"/>
      <c r="K11" s="39"/>
      <c r="L11" s="39"/>
      <c r="M11" s="39"/>
      <c r="N11" s="40"/>
      <c r="O11" s="38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>
        <f t="shared" si="2"/>
        <v>10</v>
      </c>
      <c r="AB11" s="34">
        <f>AA11*Hourly_Rate</f>
        <v>1650</v>
      </c>
    </row>
    <row r="12">
      <c r="A12" s="24" t="s">
        <v>34</v>
      </c>
      <c r="B12" s="25" t="s">
        <v>26</v>
      </c>
      <c r="C12" s="1" t="s">
        <v>1</v>
      </c>
      <c r="D12" s="26">
        <v>165.0</v>
      </c>
      <c r="E12" s="41">
        <v>8.0</v>
      </c>
      <c r="F12" s="36">
        <v>16.0</v>
      </c>
      <c r="G12" s="36">
        <v>16.0</v>
      </c>
      <c r="H12" s="36">
        <v>16.0</v>
      </c>
      <c r="I12" s="36">
        <v>32.0</v>
      </c>
      <c r="J12" s="36">
        <v>8.0</v>
      </c>
      <c r="K12" s="36">
        <v>8.0</v>
      </c>
      <c r="L12" s="36"/>
      <c r="M12" s="36"/>
      <c r="N12" s="37"/>
      <c r="O12" s="38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>
        <f t="shared" si="2"/>
        <v>104</v>
      </c>
      <c r="AB12" s="34">
        <f>AA12*Hourly_Rate</f>
        <v>17160</v>
      </c>
    </row>
    <row r="13">
      <c r="A13" s="24" t="s">
        <v>35</v>
      </c>
      <c r="B13" s="25" t="s">
        <v>26</v>
      </c>
      <c r="C13" s="1" t="s">
        <v>1</v>
      </c>
      <c r="D13" s="26">
        <v>165.0</v>
      </c>
      <c r="E13" s="41"/>
      <c r="F13" s="36">
        <v>20.0</v>
      </c>
      <c r="G13" s="36">
        <v>20.0</v>
      </c>
      <c r="H13" s="36">
        <v>10.0</v>
      </c>
      <c r="I13" s="36">
        <v>10.0</v>
      </c>
      <c r="J13" s="36"/>
      <c r="K13" s="36"/>
      <c r="L13" s="36"/>
      <c r="M13" s="36"/>
      <c r="N13" s="37"/>
      <c r="O13" s="38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>
        <f t="shared" si="2"/>
        <v>60</v>
      </c>
      <c r="AB13" s="34"/>
    </row>
    <row r="14">
      <c r="A14" s="24" t="s">
        <v>36</v>
      </c>
      <c r="B14" s="25" t="s">
        <v>26</v>
      </c>
      <c r="C14" s="1" t="s">
        <v>1</v>
      </c>
      <c r="D14" s="26">
        <v>165.0</v>
      </c>
      <c r="E14" s="42">
        <v>10.0</v>
      </c>
      <c r="F14" s="43">
        <v>10.0</v>
      </c>
      <c r="G14" s="43">
        <v>10.0</v>
      </c>
      <c r="H14" s="43">
        <v>10.0</v>
      </c>
      <c r="I14" s="43">
        <v>10.0</v>
      </c>
      <c r="J14" s="43">
        <v>10.0</v>
      </c>
      <c r="K14" s="43">
        <v>10.0</v>
      </c>
      <c r="L14" s="43">
        <v>10.0</v>
      </c>
      <c r="M14" s="43">
        <v>10.0</v>
      </c>
      <c r="N14" s="44">
        <v>10.0</v>
      </c>
      <c r="O14" s="45"/>
      <c r="P14" s="46"/>
      <c r="Q14" s="46"/>
      <c r="R14" s="46"/>
      <c r="S14" s="46"/>
      <c r="T14" s="46"/>
      <c r="U14" s="32"/>
      <c r="V14" s="32"/>
      <c r="W14" s="32"/>
      <c r="X14" s="32"/>
      <c r="Y14" s="32"/>
      <c r="Z14" s="32"/>
      <c r="AA14" s="33">
        <f t="shared" si="2"/>
        <v>100</v>
      </c>
      <c r="AB14" s="34">
        <f>AA14*Hourly_Rate</f>
        <v>16500</v>
      </c>
    </row>
    <row r="15">
      <c r="A15" s="47"/>
      <c r="B15" s="48"/>
      <c r="C15" s="48"/>
      <c r="D15" s="49" t="s">
        <v>37</v>
      </c>
      <c r="E15" s="50">
        <f t="shared" ref="E15:L15" si="3">SUMIF($B$7:$B$14,"OnShore",E7:E14)</f>
        <v>58</v>
      </c>
      <c r="F15" s="50">
        <f t="shared" si="3"/>
        <v>98</v>
      </c>
      <c r="G15" s="50">
        <f t="shared" si="3"/>
        <v>78</v>
      </c>
      <c r="H15" s="50">
        <f t="shared" si="3"/>
        <v>68</v>
      </c>
      <c r="I15" s="50">
        <f t="shared" si="3"/>
        <v>84</v>
      </c>
      <c r="J15" s="50">
        <f t="shared" si="3"/>
        <v>50</v>
      </c>
      <c r="K15" s="50">
        <f t="shared" si="3"/>
        <v>50</v>
      </c>
      <c r="L15" s="50">
        <f t="shared" si="3"/>
        <v>42</v>
      </c>
      <c r="M15" s="51">
        <f t="shared" ref="M15:Z15" si="4">SUMIF($B$7:$B$10,"OnShore",M7:M10)</f>
        <v>32</v>
      </c>
      <c r="N15" s="51">
        <f t="shared" si="4"/>
        <v>32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>
        <f t="shared" si="4"/>
        <v>0</v>
      </c>
      <c r="T15" s="51">
        <f t="shared" si="4"/>
        <v>0</v>
      </c>
      <c r="U15" s="51">
        <f t="shared" si="4"/>
        <v>0</v>
      </c>
      <c r="V15" s="51">
        <f t="shared" si="4"/>
        <v>0</v>
      </c>
      <c r="W15" s="51">
        <f t="shared" si="4"/>
        <v>0</v>
      </c>
      <c r="X15" s="51">
        <f t="shared" si="4"/>
        <v>0</v>
      </c>
      <c r="Y15" s="51">
        <f t="shared" si="4"/>
        <v>0</v>
      </c>
      <c r="Z15" s="51">
        <f t="shared" si="4"/>
        <v>0</v>
      </c>
      <c r="AA15" s="52">
        <f>SUM(AA7:AA14)</f>
        <v>612</v>
      </c>
      <c r="AB15" s="34">
        <f>AA15*Hourly_Rate</f>
        <v>100980</v>
      </c>
    </row>
    <row r="16">
      <c r="A16" s="53"/>
      <c r="B16" s="54"/>
      <c r="C16" s="54"/>
      <c r="D16" s="55" t="s">
        <v>37</v>
      </c>
      <c r="E16" s="50">
        <f t="shared" ref="E16:Z16" si="5">SUMIF($B$7:$B$10,"OffShore",E7:E10)</f>
        <v>0</v>
      </c>
      <c r="F16" s="51">
        <f t="shared" si="5"/>
        <v>0</v>
      </c>
      <c r="G16" s="51">
        <f t="shared" si="5"/>
        <v>0</v>
      </c>
      <c r="H16" s="51">
        <f t="shared" si="5"/>
        <v>0</v>
      </c>
      <c r="I16" s="51">
        <f t="shared" si="5"/>
        <v>0</v>
      </c>
      <c r="J16" s="51">
        <f t="shared" si="5"/>
        <v>0</v>
      </c>
      <c r="K16" s="51">
        <f t="shared" si="5"/>
        <v>0</v>
      </c>
      <c r="L16" s="51">
        <f t="shared" si="5"/>
        <v>0</v>
      </c>
      <c r="M16" s="51">
        <f t="shared" si="5"/>
        <v>0</v>
      </c>
      <c r="N16" s="51">
        <f t="shared" si="5"/>
        <v>0</v>
      </c>
      <c r="O16" s="51">
        <f t="shared" si="5"/>
        <v>0</v>
      </c>
      <c r="P16" s="51">
        <f t="shared" si="5"/>
        <v>0</v>
      </c>
      <c r="Q16" s="51">
        <f t="shared" si="5"/>
        <v>0</v>
      </c>
      <c r="R16" s="51">
        <f t="shared" si="5"/>
        <v>0</v>
      </c>
      <c r="S16" s="51">
        <f t="shared" si="5"/>
        <v>0</v>
      </c>
      <c r="T16" s="51">
        <f t="shared" si="5"/>
        <v>0</v>
      </c>
      <c r="U16" s="51">
        <f t="shared" si="5"/>
        <v>0</v>
      </c>
      <c r="V16" s="51">
        <f t="shared" si="5"/>
        <v>0</v>
      </c>
      <c r="W16" s="51">
        <f t="shared" si="5"/>
        <v>0</v>
      </c>
      <c r="X16" s="51">
        <f t="shared" si="5"/>
        <v>0</v>
      </c>
      <c r="Y16" s="51">
        <f t="shared" si="5"/>
        <v>0</v>
      </c>
      <c r="Z16" s="51">
        <f t="shared" si="5"/>
        <v>0</v>
      </c>
      <c r="AA16" s="56">
        <f>SUM(K16:N16)</f>
        <v>0</v>
      </c>
      <c r="AB16" s="34"/>
    </row>
    <row r="17">
      <c r="A17" s="57"/>
      <c r="B17" s="58"/>
      <c r="C17" s="59"/>
      <c r="D17" s="60" t="s">
        <v>38</v>
      </c>
      <c r="E17" s="61">
        <f t="shared" ref="E17:Z17" si="6">SUM(E15:E16)</f>
        <v>58</v>
      </c>
      <c r="F17" s="62">
        <f t="shared" si="6"/>
        <v>98</v>
      </c>
      <c r="G17" s="62">
        <f t="shared" si="6"/>
        <v>78</v>
      </c>
      <c r="H17" s="62">
        <f t="shared" si="6"/>
        <v>68</v>
      </c>
      <c r="I17" s="62">
        <f t="shared" si="6"/>
        <v>84</v>
      </c>
      <c r="J17" s="62">
        <f t="shared" si="6"/>
        <v>50</v>
      </c>
      <c r="K17" s="62">
        <f t="shared" si="6"/>
        <v>50</v>
      </c>
      <c r="L17" s="62">
        <f t="shared" si="6"/>
        <v>42</v>
      </c>
      <c r="M17" s="62">
        <f t="shared" si="6"/>
        <v>32</v>
      </c>
      <c r="N17" s="62">
        <f t="shared" si="6"/>
        <v>32</v>
      </c>
      <c r="O17" s="62">
        <f t="shared" si="6"/>
        <v>0</v>
      </c>
      <c r="P17" s="62">
        <f t="shared" si="6"/>
        <v>0</v>
      </c>
      <c r="Q17" s="62">
        <f t="shared" si="6"/>
        <v>0</v>
      </c>
      <c r="R17" s="62">
        <f t="shared" si="6"/>
        <v>0</v>
      </c>
      <c r="S17" s="62">
        <f t="shared" si="6"/>
        <v>0</v>
      </c>
      <c r="T17" s="62">
        <f t="shared" si="6"/>
        <v>0</v>
      </c>
      <c r="U17" s="62">
        <f t="shared" si="6"/>
        <v>0</v>
      </c>
      <c r="V17" s="62">
        <f t="shared" si="6"/>
        <v>0</v>
      </c>
      <c r="W17" s="62">
        <f t="shared" si="6"/>
        <v>0</v>
      </c>
      <c r="X17" s="62">
        <f t="shared" si="6"/>
        <v>0</v>
      </c>
      <c r="Y17" s="62">
        <f t="shared" si="6"/>
        <v>0</v>
      </c>
      <c r="Z17" s="62">
        <f t="shared" si="6"/>
        <v>0</v>
      </c>
      <c r="AA17" s="63"/>
      <c r="AB17" s="64"/>
    </row>
    <row r="18">
      <c r="A18" s="47"/>
      <c r="B18" s="48"/>
      <c r="C18" s="48"/>
      <c r="D18" s="49" t="s">
        <v>39</v>
      </c>
      <c r="E18" s="65">
        <f>E15*Hourly_Rate</f>
        <v>9570</v>
      </c>
      <c r="F18" s="65">
        <f>F15*Hourly_Rate</f>
        <v>16170</v>
      </c>
      <c r="G18" s="65">
        <f>G15*Hourly_Rate</f>
        <v>12870</v>
      </c>
      <c r="H18" s="65">
        <f>H15*Hourly_Rate</f>
        <v>11220</v>
      </c>
      <c r="I18" s="65">
        <f>I15*Hourly_Rate</f>
        <v>13860</v>
      </c>
      <c r="J18" s="65">
        <f>J15*Hourly_Rate</f>
        <v>8250</v>
      </c>
      <c r="K18" s="65">
        <f>K15*Hourly_Rate</f>
        <v>8250</v>
      </c>
      <c r="L18" s="65">
        <f>L15*Hourly_Rate</f>
        <v>6930</v>
      </c>
      <c r="M18" s="65">
        <f>M15*Hourly_Rate</f>
        <v>5280</v>
      </c>
      <c r="N18" s="65">
        <f>N15*Hourly_Rate</f>
        <v>5280</v>
      </c>
      <c r="O18" s="65">
        <f>O15*Hourly_Rate</f>
        <v>0</v>
      </c>
      <c r="P18" s="65">
        <f>P15*Hourly_Rate</f>
        <v>0</v>
      </c>
      <c r="Q18" s="65">
        <f>Q15*Hourly_Rate</f>
        <v>0</v>
      </c>
      <c r="R18" s="65">
        <f>R15*Hourly_Rate</f>
        <v>0</v>
      </c>
      <c r="S18" s="65">
        <f>S15*Hourly_Rate</f>
        <v>0</v>
      </c>
      <c r="T18" s="65">
        <f>T15*Hourly_Rate</f>
        <v>0</v>
      </c>
      <c r="U18" s="65">
        <f>U15*Hourly_Rate</f>
        <v>0</v>
      </c>
      <c r="V18" s="65">
        <f>V15*Hourly_Rate</f>
        <v>0</v>
      </c>
      <c r="W18" s="65">
        <f>W15*Hourly_Rate</f>
        <v>0</v>
      </c>
      <c r="X18" s="65">
        <f>X15*Hourly_Rate</f>
        <v>0</v>
      </c>
      <c r="Y18" s="65">
        <f>Y15*Hourly_Rate</f>
        <v>0</v>
      </c>
      <c r="Z18" s="65">
        <f>Z15*Hourly_Rate</f>
        <v>0</v>
      </c>
      <c r="AA18" s="65">
        <f>AA15*Hourly_Rate</f>
        <v>100980</v>
      </c>
      <c r="AB18" s="66"/>
    </row>
    <row r="19">
      <c r="A19" s="53"/>
      <c r="B19" s="54"/>
      <c r="C19" s="54"/>
      <c r="D19" s="55" t="s">
        <v>40</v>
      </c>
      <c r="E19" s="65">
        <f t="shared" ref="E19:Z19" si="7">E16*135</f>
        <v>0</v>
      </c>
      <c r="F19" s="67">
        <f t="shared" si="7"/>
        <v>0</v>
      </c>
      <c r="G19" s="67">
        <f t="shared" si="7"/>
        <v>0</v>
      </c>
      <c r="H19" s="67">
        <f t="shared" si="7"/>
        <v>0</v>
      </c>
      <c r="I19" s="67">
        <f t="shared" si="7"/>
        <v>0</v>
      </c>
      <c r="J19" s="67">
        <f t="shared" si="7"/>
        <v>0</v>
      </c>
      <c r="K19" s="65">
        <f t="shared" si="7"/>
        <v>0</v>
      </c>
      <c r="L19" s="65">
        <f t="shared" si="7"/>
        <v>0</v>
      </c>
      <c r="M19" s="65">
        <f t="shared" si="7"/>
        <v>0</v>
      </c>
      <c r="N19" s="65">
        <f t="shared" si="7"/>
        <v>0</v>
      </c>
      <c r="O19" s="65">
        <f t="shared" si="7"/>
        <v>0</v>
      </c>
      <c r="P19" s="65">
        <f t="shared" si="7"/>
        <v>0</v>
      </c>
      <c r="Q19" s="65">
        <f t="shared" si="7"/>
        <v>0</v>
      </c>
      <c r="R19" s="65">
        <f t="shared" si="7"/>
        <v>0</v>
      </c>
      <c r="S19" s="65">
        <f t="shared" si="7"/>
        <v>0</v>
      </c>
      <c r="T19" s="65">
        <f t="shared" si="7"/>
        <v>0</v>
      </c>
      <c r="U19" s="65">
        <f t="shared" si="7"/>
        <v>0</v>
      </c>
      <c r="V19" s="65">
        <f t="shared" si="7"/>
        <v>0</v>
      </c>
      <c r="W19" s="65">
        <f t="shared" si="7"/>
        <v>0</v>
      </c>
      <c r="X19" s="65">
        <f t="shared" si="7"/>
        <v>0</v>
      </c>
      <c r="Y19" s="65">
        <f t="shared" si="7"/>
        <v>0</v>
      </c>
      <c r="Z19" s="65">
        <f t="shared" si="7"/>
        <v>0</v>
      </c>
      <c r="AA19" s="65">
        <f>SUM(K19:N19)</f>
        <v>0</v>
      </c>
      <c r="AB19" s="68"/>
    </row>
    <row r="20">
      <c r="A20" s="69"/>
      <c r="B20" s="70"/>
      <c r="C20" s="70"/>
      <c r="D20" s="71" t="s">
        <v>19</v>
      </c>
      <c r="E20" s="72">
        <f t="shared" ref="E20:AA20" si="8">SUM(E18:E19)</f>
        <v>9570</v>
      </c>
      <c r="F20" s="72">
        <f t="shared" si="8"/>
        <v>16170</v>
      </c>
      <c r="G20" s="72">
        <f t="shared" si="8"/>
        <v>12870</v>
      </c>
      <c r="H20" s="72">
        <f t="shared" si="8"/>
        <v>11220</v>
      </c>
      <c r="I20" s="72">
        <f t="shared" si="8"/>
        <v>13860</v>
      </c>
      <c r="J20" s="72">
        <f t="shared" si="8"/>
        <v>8250</v>
      </c>
      <c r="K20" s="72">
        <f t="shared" si="8"/>
        <v>8250</v>
      </c>
      <c r="L20" s="72">
        <f t="shared" si="8"/>
        <v>6930</v>
      </c>
      <c r="M20" s="72">
        <f t="shared" si="8"/>
        <v>5280</v>
      </c>
      <c r="N20" s="72">
        <f t="shared" si="8"/>
        <v>5280</v>
      </c>
      <c r="O20" s="72">
        <f t="shared" si="8"/>
        <v>0</v>
      </c>
      <c r="P20" s="72">
        <f t="shared" si="8"/>
        <v>0</v>
      </c>
      <c r="Q20" s="72">
        <f t="shared" si="8"/>
        <v>0</v>
      </c>
      <c r="R20" s="72">
        <f t="shared" si="8"/>
        <v>0</v>
      </c>
      <c r="S20" s="72">
        <f t="shared" si="8"/>
        <v>0</v>
      </c>
      <c r="T20" s="72">
        <f t="shared" si="8"/>
        <v>0</v>
      </c>
      <c r="U20" s="72">
        <f t="shared" si="8"/>
        <v>0</v>
      </c>
      <c r="V20" s="72">
        <f t="shared" si="8"/>
        <v>0</v>
      </c>
      <c r="W20" s="72">
        <f t="shared" si="8"/>
        <v>0</v>
      </c>
      <c r="X20" s="72">
        <f t="shared" si="8"/>
        <v>0</v>
      </c>
      <c r="Y20" s="72">
        <f t="shared" si="8"/>
        <v>0</v>
      </c>
      <c r="Z20" s="72">
        <f t="shared" si="8"/>
        <v>0</v>
      </c>
      <c r="AA20" s="72">
        <f t="shared" si="8"/>
        <v>100980</v>
      </c>
      <c r="AB20" s="73"/>
    </row>
    <row r="21" ht="15.75" customHeight="1">
      <c r="B21" s="1"/>
      <c r="C21" s="1"/>
      <c r="D21" s="1"/>
    </row>
    <row r="22" ht="15.75" customHeight="1">
      <c r="B22" s="1"/>
      <c r="C22" s="1"/>
      <c r="D22" s="1"/>
      <c r="S22" s="74" t="s">
        <v>41</v>
      </c>
      <c r="AA22" s="2">
        <v>462.25</v>
      </c>
    </row>
    <row r="23" ht="15.75" customHeight="1">
      <c r="B23" s="1"/>
      <c r="C23" s="1"/>
      <c r="D23" s="1"/>
      <c r="S23" s="74" t="s">
        <v>42</v>
      </c>
      <c r="AA23" s="75">
        <f>AA15-AA22</f>
        <v>149.75</v>
      </c>
      <c r="AB23" s="2" t="s">
        <v>43</v>
      </c>
    </row>
    <row r="24" ht="15.75" customHeight="1">
      <c r="B24" s="1"/>
      <c r="C24" s="1"/>
      <c r="D24" s="1"/>
    </row>
    <row r="25" ht="15.75" customHeight="1">
      <c r="A25" s="2" t="s">
        <v>44</v>
      </c>
      <c r="B25" s="1"/>
      <c r="C25" s="1"/>
      <c r="D25" s="1"/>
      <c r="AF25" s="76"/>
    </row>
    <row r="26" ht="15.75" customHeight="1">
      <c r="A26" s="2" t="s">
        <v>45</v>
      </c>
      <c r="B26" s="1"/>
      <c r="C26" s="1"/>
      <c r="D26" s="1"/>
    </row>
    <row r="27" ht="15.75" customHeight="1">
      <c r="A27" s="2" t="s">
        <v>46</v>
      </c>
      <c r="B27" s="1"/>
      <c r="C27" s="1"/>
      <c r="D27" s="1"/>
    </row>
    <row r="28" ht="15.75" customHeight="1">
      <c r="A28" s="2" t="s">
        <v>47</v>
      </c>
      <c r="B28" s="1"/>
      <c r="C28" s="1"/>
      <c r="D28" s="1"/>
    </row>
    <row r="29" ht="15.75" customHeight="1">
      <c r="A29" s="2" t="s">
        <v>48</v>
      </c>
      <c r="B29" s="1"/>
      <c r="C29" s="1"/>
      <c r="D29" s="1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</row>
    <row r="30" ht="15.75" customHeight="1">
      <c r="A30" s="2" t="s">
        <v>49</v>
      </c>
      <c r="B30" s="1"/>
      <c r="C30" s="1"/>
      <c r="D30" s="1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</row>
    <row r="31" ht="15.75" customHeight="1">
      <c r="A31" s="2" t="s">
        <v>50</v>
      </c>
      <c r="B31" s="1"/>
      <c r="C31" s="1"/>
      <c r="D31" s="1"/>
      <c r="E31" s="77"/>
      <c r="F31" s="78"/>
      <c r="G31" s="78"/>
      <c r="H31" s="78"/>
      <c r="I31" s="78"/>
      <c r="J31" s="78"/>
      <c r="K31" s="78"/>
      <c r="L31" s="78"/>
      <c r="M31" s="78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</row>
    <row r="32" ht="15.75" customHeight="1">
      <c r="A32" s="2" t="s">
        <v>51</v>
      </c>
      <c r="B32" s="1"/>
      <c r="C32" s="1"/>
      <c r="D32" s="1"/>
      <c r="E32" s="77"/>
      <c r="F32" s="78"/>
      <c r="G32" s="78"/>
      <c r="H32" s="78"/>
      <c r="I32" s="78"/>
      <c r="J32" s="78"/>
      <c r="K32" s="78"/>
      <c r="L32" s="78"/>
      <c r="M32" s="78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ht="15.75" customHeight="1">
      <c r="B33" s="1"/>
      <c r="C33" s="1"/>
      <c r="D33" s="1"/>
      <c r="E33" s="77"/>
      <c r="F33" s="78"/>
      <c r="G33" s="78"/>
      <c r="H33" s="78"/>
      <c r="I33" s="78"/>
      <c r="J33" s="78"/>
      <c r="K33" s="78"/>
      <c r="L33" s="78"/>
      <c r="M33" s="78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  <row r="34" ht="15.75" customHeight="1">
      <c r="B34" s="1"/>
      <c r="C34" s="1"/>
      <c r="D34" s="1"/>
      <c r="E34" s="77"/>
      <c r="F34" s="78"/>
      <c r="G34" s="78"/>
      <c r="H34" s="78"/>
      <c r="I34" s="78"/>
      <c r="J34" s="78"/>
      <c r="K34" s="78"/>
      <c r="L34" s="78"/>
      <c r="M34" s="78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</row>
    <row r="35" ht="15.75" customHeight="1">
      <c r="B35" s="1"/>
      <c r="C35" s="1"/>
      <c r="D35" s="1"/>
      <c r="E35" s="77"/>
      <c r="F35" s="78"/>
      <c r="G35" s="78"/>
      <c r="H35" s="78"/>
      <c r="I35" s="78"/>
      <c r="J35" s="78"/>
      <c r="K35" s="78"/>
      <c r="L35" s="78"/>
      <c r="M35" s="78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</row>
    <row r="36" ht="15.75" customHeight="1">
      <c r="B36" s="1"/>
      <c r="C36" s="1"/>
      <c r="D36" s="1"/>
      <c r="E36" s="77"/>
      <c r="F36" s="78"/>
      <c r="G36" s="78"/>
      <c r="H36" s="78"/>
      <c r="I36" s="78"/>
      <c r="J36" s="78"/>
      <c r="K36" s="78"/>
      <c r="L36" s="78"/>
      <c r="M36" s="78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</row>
    <row r="37" ht="15.75" customHeight="1">
      <c r="B37" s="1"/>
      <c r="C37" s="1"/>
      <c r="D37" s="1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</row>
    <row r="38" ht="15.75" customHeight="1">
      <c r="B38" s="1"/>
      <c r="C38" s="1"/>
      <c r="D38" s="1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</row>
    <row r="39" ht="15.75" customHeight="1">
      <c r="B39" s="1"/>
      <c r="C39" s="1"/>
      <c r="D39" s="1"/>
    </row>
    <row r="40" ht="15.75" customHeight="1">
      <c r="B40" s="1"/>
      <c r="C40" s="1"/>
      <c r="D40" s="1"/>
    </row>
    <row r="41" ht="15.75" customHeight="1">
      <c r="B41" s="1"/>
      <c r="C41" s="1"/>
      <c r="D41" s="1"/>
    </row>
    <row r="42" ht="15.75" customHeight="1">
      <c r="B42" s="1"/>
      <c r="C42" s="1"/>
      <c r="D42" s="1"/>
    </row>
    <row r="43" ht="15.75" customHeight="1">
      <c r="B43" s="1"/>
      <c r="C43" s="1"/>
      <c r="D43" s="1"/>
    </row>
    <row r="44" ht="15.75" customHeight="1">
      <c r="B44" s="1"/>
      <c r="C44" s="1"/>
      <c r="D44" s="1"/>
    </row>
    <row r="45" ht="15.75" customHeight="1">
      <c r="B45" s="1"/>
      <c r="C45" s="1"/>
      <c r="D45" s="1"/>
    </row>
    <row r="46" ht="15.75" customHeight="1">
      <c r="B46" s="1"/>
      <c r="C46" s="1"/>
      <c r="D46" s="1"/>
    </row>
    <row r="47" ht="15.75" customHeight="1">
      <c r="B47" s="1"/>
      <c r="C47" s="1"/>
      <c r="D47" s="1"/>
    </row>
    <row r="48" ht="15.75" customHeight="1">
      <c r="B48" s="1"/>
      <c r="C48" s="1"/>
      <c r="D48" s="1"/>
    </row>
    <row r="49" ht="15.75" customHeight="1">
      <c r="B49" s="1"/>
      <c r="C49" s="1"/>
      <c r="D49" s="1"/>
    </row>
    <row r="50" ht="15.75" customHeight="1">
      <c r="B50" s="1"/>
      <c r="C50" s="1"/>
      <c r="D50" s="1"/>
    </row>
    <row r="51" ht="15.75" customHeight="1">
      <c r="B51" s="1"/>
      <c r="C51" s="1"/>
      <c r="D51" s="1"/>
    </row>
    <row r="52" ht="15.75" customHeight="1">
      <c r="B52" s="1"/>
      <c r="C52" s="1"/>
      <c r="D52" s="1"/>
    </row>
    <row r="53" ht="15.75" customHeight="1">
      <c r="B53" s="1"/>
      <c r="C53" s="1"/>
      <c r="D53" s="1"/>
    </row>
    <row r="54" ht="15.75" customHeight="1">
      <c r="B54" s="1"/>
      <c r="C54" s="1"/>
      <c r="D54" s="1"/>
    </row>
    <row r="55" ht="15.75" customHeight="1">
      <c r="B55" s="1"/>
      <c r="C55" s="1"/>
      <c r="D55" s="1"/>
    </row>
    <row r="56" ht="15.75" customHeight="1">
      <c r="B56" s="1"/>
      <c r="C56" s="1"/>
      <c r="D56" s="1"/>
    </row>
    <row r="57" ht="15.75" customHeight="1">
      <c r="B57" s="1"/>
      <c r="C57" s="1"/>
      <c r="D57" s="1"/>
    </row>
    <row r="58" ht="15.75" customHeight="1">
      <c r="B58" s="1"/>
      <c r="C58" s="1"/>
      <c r="D58" s="1"/>
    </row>
    <row r="59" ht="15.75" customHeight="1">
      <c r="B59" s="1"/>
      <c r="C59" s="1"/>
      <c r="D59" s="1"/>
    </row>
    <row r="60" ht="15.75" customHeight="1">
      <c r="B60" s="1"/>
      <c r="C60" s="1"/>
      <c r="D60" s="1"/>
    </row>
    <row r="61" ht="15.75" customHeight="1">
      <c r="B61" s="1"/>
      <c r="C61" s="1"/>
      <c r="D61" s="1"/>
    </row>
    <row r="62" ht="15.75" customHeight="1">
      <c r="B62" s="1"/>
      <c r="C62" s="1"/>
      <c r="D62" s="1"/>
    </row>
    <row r="63" ht="15.75" customHeight="1">
      <c r="B63" s="1"/>
      <c r="C63" s="1"/>
      <c r="D63" s="1"/>
    </row>
    <row r="64" ht="15.75" customHeight="1">
      <c r="B64" s="1"/>
      <c r="C64" s="1"/>
      <c r="D64" s="1"/>
    </row>
    <row r="65" ht="15.75" customHeight="1">
      <c r="B65" s="1"/>
      <c r="C65" s="1"/>
      <c r="D65" s="1"/>
    </row>
    <row r="66" ht="15.75" customHeight="1">
      <c r="B66" s="1"/>
      <c r="C66" s="1"/>
      <c r="D66" s="1"/>
    </row>
    <row r="67" ht="15.75" customHeight="1">
      <c r="B67" s="1"/>
      <c r="C67" s="1"/>
      <c r="D67" s="1"/>
    </row>
    <row r="68" ht="15.75" customHeight="1">
      <c r="B68" s="1"/>
      <c r="C68" s="1"/>
      <c r="D68" s="1"/>
    </row>
    <row r="69" ht="15.75" customHeight="1">
      <c r="B69" s="1"/>
      <c r="C69" s="1"/>
      <c r="D69" s="1"/>
    </row>
    <row r="70" ht="15.75" customHeight="1">
      <c r="B70" s="1"/>
      <c r="C70" s="1"/>
      <c r="D70" s="1"/>
    </row>
    <row r="71" ht="15.75" customHeight="1">
      <c r="B71" s="1"/>
      <c r="C71" s="1"/>
      <c r="D71" s="1"/>
    </row>
    <row r="72" ht="15.75" customHeight="1">
      <c r="B72" s="1"/>
      <c r="C72" s="1"/>
      <c r="D72" s="1"/>
    </row>
    <row r="73" ht="15.75" customHeight="1">
      <c r="B73" s="1"/>
      <c r="C73" s="1"/>
      <c r="D73" s="1"/>
    </row>
    <row r="74" ht="15.75" customHeight="1">
      <c r="B74" s="1"/>
      <c r="C74" s="1"/>
      <c r="D74" s="1"/>
    </row>
    <row r="75" ht="15.75" customHeight="1">
      <c r="B75" s="1"/>
      <c r="C75" s="1"/>
      <c r="D75" s="1"/>
    </row>
    <row r="76" ht="15.75" customHeight="1">
      <c r="B76" s="1"/>
      <c r="C76" s="1"/>
      <c r="D76" s="1"/>
    </row>
    <row r="77" ht="15.75" customHeight="1">
      <c r="B77" s="1"/>
      <c r="C77" s="1"/>
      <c r="D77" s="1"/>
    </row>
    <row r="78" ht="15.75" customHeight="1">
      <c r="B78" s="1"/>
      <c r="C78" s="1"/>
      <c r="D78" s="1"/>
    </row>
    <row r="79" ht="15.75" customHeight="1">
      <c r="B79" s="1"/>
      <c r="C79" s="1"/>
      <c r="D79" s="1"/>
    </row>
    <row r="80" ht="15.75" customHeight="1">
      <c r="B80" s="1"/>
      <c r="C80" s="1"/>
      <c r="D80" s="1"/>
    </row>
    <row r="81" ht="15.75" customHeight="1">
      <c r="B81" s="1"/>
      <c r="C81" s="1"/>
      <c r="D81" s="1"/>
    </row>
    <row r="82" ht="15.75" customHeight="1">
      <c r="B82" s="1"/>
      <c r="C82" s="1"/>
      <c r="D82" s="1"/>
    </row>
    <row r="83" ht="15.75" customHeight="1">
      <c r="B83" s="1"/>
      <c r="C83" s="1"/>
      <c r="D83" s="1"/>
    </row>
    <row r="84" ht="15.75" customHeight="1">
      <c r="B84" s="1"/>
      <c r="C84" s="1"/>
      <c r="D84" s="1"/>
    </row>
    <row r="85" ht="15.75" customHeight="1">
      <c r="B85" s="1"/>
      <c r="C85" s="1"/>
      <c r="D85" s="1"/>
    </row>
    <row r="86" ht="15.75" customHeight="1">
      <c r="B86" s="1"/>
      <c r="C86" s="1"/>
      <c r="D86" s="1"/>
    </row>
    <row r="87" ht="15.75" customHeight="1">
      <c r="B87" s="1"/>
      <c r="C87" s="1"/>
      <c r="D87" s="1"/>
    </row>
    <row r="88" ht="15.75" customHeight="1">
      <c r="B88" s="1"/>
      <c r="C88" s="1"/>
      <c r="D88" s="1"/>
    </row>
    <row r="89" ht="15.75" customHeight="1">
      <c r="B89" s="1"/>
      <c r="C89" s="1"/>
      <c r="D89" s="1"/>
    </row>
    <row r="90" ht="15.75" customHeight="1">
      <c r="B90" s="1"/>
      <c r="C90" s="1"/>
      <c r="D90" s="1"/>
    </row>
    <row r="91" ht="15.75" customHeight="1">
      <c r="B91" s="1"/>
      <c r="C91" s="1"/>
      <c r="D91" s="1"/>
    </row>
    <row r="92" ht="15.75" customHeight="1">
      <c r="B92" s="1"/>
      <c r="C92" s="1"/>
      <c r="D92" s="1"/>
    </row>
    <row r="93" ht="15.75" customHeight="1">
      <c r="B93" s="1"/>
      <c r="C93" s="1"/>
      <c r="D93" s="1"/>
    </row>
    <row r="94" ht="15.75" customHeight="1">
      <c r="B94" s="1"/>
      <c r="C94" s="1"/>
      <c r="D94" s="1"/>
    </row>
    <row r="95" ht="15.75" customHeight="1">
      <c r="B95" s="1"/>
      <c r="C95" s="1"/>
      <c r="D95" s="1"/>
    </row>
    <row r="96" ht="15.75" customHeight="1">
      <c r="B96" s="1"/>
      <c r="C96" s="1"/>
      <c r="D96" s="1"/>
    </row>
    <row r="97" ht="15.75" customHeight="1">
      <c r="B97" s="1"/>
      <c r="C97" s="1"/>
      <c r="D97" s="1"/>
    </row>
    <row r="98" ht="15.75" customHeight="1">
      <c r="B98" s="1"/>
      <c r="C98" s="1"/>
      <c r="D98" s="1"/>
    </row>
    <row r="99" ht="15.75" customHeight="1">
      <c r="B99" s="1"/>
      <c r="C99" s="1"/>
      <c r="D99" s="1"/>
    </row>
    <row r="100" ht="15.75" customHeight="1">
      <c r="B100" s="1"/>
      <c r="C100" s="1"/>
      <c r="D100" s="1"/>
    </row>
    <row r="101" ht="15.75" customHeight="1">
      <c r="B101" s="1"/>
      <c r="C101" s="1"/>
      <c r="D101" s="1"/>
    </row>
    <row r="102" ht="15.75" customHeight="1">
      <c r="B102" s="1"/>
      <c r="C102" s="1"/>
      <c r="D102" s="1"/>
    </row>
    <row r="103" ht="15.75" customHeight="1">
      <c r="B103" s="1"/>
      <c r="C103" s="1"/>
      <c r="D103" s="1"/>
    </row>
    <row r="104" ht="15.75" customHeight="1">
      <c r="B104" s="1"/>
      <c r="C104" s="1"/>
      <c r="D104" s="1"/>
    </row>
    <row r="105" ht="15.75" customHeight="1">
      <c r="B105" s="1"/>
      <c r="C105" s="1"/>
      <c r="D105" s="1"/>
    </row>
    <row r="106" ht="15.75" customHeight="1">
      <c r="B106" s="1"/>
      <c r="C106" s="1"/>
      <c r="D106" s="1"/>
    </row>
    <row r="107" ht="15.75" customHeight="1">
      <c r="B107" s="1"/>
      <c r="C107" s="1"/>
      <c r="D107" s="1"/>
    </row>
    <row r="108" ht="15.75" customHeight="1">
      <c r="B108" s="1"/>
      <c r="C108" s="1"/>
      <c r="D108" s="1"/>
    </row>
    <row r="109" ht="15.75" customHeight="1">
      <c r="B109" s="1"/>
      <c r="C109" s="1"/>
      <c r="D109" s="1"/>
    </row>
    <row r="110" ht="15.75" customHeight="1">
      <c r="B110" s="1"/>
      <c r="C110" s="1"/>
      <c r="D110" s="1"/>
    </row>
    <row r="111" ht="15.75" customHeight="1">
      <c r="B111" s="1"/>
      <c r="C111" s="1"/>
      <c r="D111" s="1"/>
    </row>
    <row r="112" ht="15.75" customHeight="1">
      <c r="B112" s="1"/>
      <c r="C112" s="1"/>
      <c r="D112" s="1"/>
    </row>
    <row r="113" ht="15.75" customHeight="1">
      <c r="B113" s="1"/>
      <c r="C113" s="1"/>
      <c r="D113" s="1"/>
    </row>
    <row r="114" ht="15.75" customHeight="1">
      <c r="B114" s="1"/>
      <c r="C114" s="1"/>
      <c r="D114" s="1"/>
    </row>
    <row r="115" ht="15.75" customHeight="1">
      <c r="B115" s="1"/>
      <c r="C115" s="1"/>
      <c r="D115" s="1"/>
    </row>
    <row r="116" ht="15.75" customHeight="1">
      <c r="B116" s="1"/>
      <c r="C116" s="1"/>
      <c r="D116" s="1"/>
    </row>
    <row r="117" ht="15.75" customHeight="1">
      <c r="B117" s="1"/>
      <c r="C117" s="1"/>
      <c r="D117" s="1"/>
    </row>
    <row r="118" ht="15.75" customHeight="1">
      <c r="B118" s="1"/>
      <c r="C118" s="1"/>
      <c r="D118" s="1"/>
    </row>
    <row r="119" ht="15.75" customHeight="1">
      <c r="B119" s="1"/>
      <c r="C119" s="1"/>
      <c r="D119" s="1"/>
    </row>
    <row r="120" ht="15.75" customHeight="1">
      <c r="B120" s="1"/>
      <c r="C120" s="1"/>
      <c r="D120" s="1"/>
    </row>
    <row r="121" ht="15.75" customHeight="1">
      <c r="B121" s="1"/>
      <c r="C121" s="1"/>
      <c r="D121" s="1"/>
    </row>
    <row r="122" ht="15.75" customHeight="1">
      <c r="B122" s="1"/>
      <c r="C122" s="1"/>
      <c r="D122" s="1"/>
    </row>
    <row r="123" ht="15.75" customHeight="1">
      <c r="B123" s="1"/>
      <c r="C123" s="1"/>
      <c r="D123" s="1"/>
    </row>
    <row r="124" ht="15.75" customHeight="1">
      <c r="B124" s="1"/>
      <c r="C124" s="1"/>
      <c r="D124" s="1"/>
    </row>
    <row r="125" ht="15.75" customHeight="1">
      <c r="B125" s="1"/>
      <c r="C125" s="1"/>
      <c r="D125" s="1"/>
    </row>
    <row r="126" ht="15.75" customHeight="1">
      <c r="B126" s="1"/>
      <c r="C126" s="1"/>
      <c r="D126" s="1"/>
    </row>
    <row r="127" ht="15.75" customHeight="1">
      <c r="B127" s="1"/>
      <c r="C127" s="1"/>
      <c r="D127" s="1"/>
    </row>
    <row r="128" ht="15.75" customHeight="1">
      <c r="B128" s="1"/>
      <c r="C128" s="1"/>
      <c r="D128" s="1"/>
    </row>
    <row r="129" ht="15.75" customHeight="1">
      <c r="B129" s="1"/>
      <c r="C129" s="1"/>
      <c r="D129" s="1"/>
    </row>
    <row r="130" ht="15.75" customHeight="1">
      <c r="B130" s="1"/>
      <c r="C130" s="1"/>
      <c r="D130" s="1"/>
    </row>
    <row r="131" ht="15.75" customHeight="1">
      <c r="B131" s="1"/>
      <c r="C131" s="1"/>
      <c r="D131" s="1"/>
    </row>
    <row r="132" ht="15.75" customHeight="1">
      <c r="B132" s="1"/>
      <c r="C132" s="1"/>
      <c r="D132" s="1"/>
    </row>
    <row r="133" ht="15.75" customHeight="1">
      <c r="B133" s="1"/>
      <c r="C133" s="1"/>
      <c r="D133" s="1"/>
    </row>
    <row r="134" ht="15.75" customHeight="1">
      <c r="B134" s="1"/>
      <c r="C134" s="1"/>
      <c r="D134" s="1"/>
    </row>
    <row r="135" ht="15.75" customHeight="1">
      <c r="B135" s="1"/>
      <c r="C135" s="1"/>
      <c r="D135" s="1"/>
    </row>
    <row r="136" ht="15.75" customHeight="1">
      <c r="B136" s="1"/>
      <c r="C136" s="1"/>
      <c r="D136" s="1"/>
    </row>
    <row r="137" ht="15.75" customHeight="1">
      <c r="B137" s="1"/>
      <c r="C137" s="1"/>
      <c r="D137" s="1"/>
    </row>
    <row r="138" ht="15.75" customHeight="1">
      <c r="B138" s="1"/>
      <c r="C138" s="1"/>
      <c r="D138" s="1"/>
    </row>
    <row r="139" ht="15.75" customHeight="1">
      <c r="B139" s="1"/>
      <c r="C139" s="1"/>
      <c r="D139" s="1"/>
    </row>
    <row r="140" ht="15.75" customHeight="1">
      <c r="B140" s="1"/>
      <c r="C140" s="1"/>
      <c r="D140" s="1"/>
    </row>
    <row r="141" ht="15.75" customHeight="1">
      <c r="B141" s="1"/>
      <c r="C141" s="1"/>
      <c r="D141" s="1"/>
    </row>
    <row r="142" ht="15.75" customHeight="1">
      <c r="B142" s="1"/>
      <c r="C142" s="1"/>
      <c r="D142" s="1"/>
    </row>
    <row r="143" ht="15.75" customHeight="1">
      <c r="B143" s="1"/>
      <c r="C143" s="1"/>
      <c r="D143" s="1"/>
    </row>
    <row r="144" ht="15.75" customHeight="1">
      <c r="B144" s="1"/>
      <c r="C144" s="1"/>
      <c r="D144" s="1"/>
    </row>
    <row r="145" ht="15.75" customHeight="1">
      <c r="B145" s="1"/>
      <c r="C145" s="1"/>
      <c r="D145" s="1"/>
    </row>
    <row r="146" ht="15.75" customHeight="1">
      <c r="B146" s="1"/>
      <c r="C146" s="1"/>
      <c r="D146" s="1"/>
    </row>
    <row r="147" ht="15.75" customHeight="1">
      <c r="B147" s="1"/>
      <c r="C147" s="1"/>
      <c r="D147" s="1"/>
    </row>
    <row r="148" ht="15.75" customHeight="1">
      <c r="B148" s="1"/>
      <c r="C148" s="1"/>
      <c r="D148" s="1"/>
    </row>
    <row r="149" ht="15.75" customHeight="1">
      <c r="B149" s="1"/>
      <c r="C149" s="1"/>
      <c r="D149" s="1"/>
    </row>
    <row r="150" ht="15.75" customHeight="1">
      <c r="B150" s="1"/>
      <c r="C150" s="1"/>
      <c r="D150" s="1"/>
    </row>
    <row r="151" ht="15.75" customHeight="1">
      <c r="B151" s="1"/>
      <c r="C151" s="1"/>
      <c r="D151" s="1"/>
    </row>
    <row r="152" ht="15.75" customHeight="1">
      <c r="B152" s="1"/>
      <c r="C152" s="1"/>
      <c r="D152" s="1"/>
    </row>
    <row r="153" ht="15.75" customHeight="1">
      <c r="B153" s="1"/>
      <c r="C153" s="1"/>
      <c r="D153" s="1"/>
    </row>
    <row r="154" ht="15.75" customHeight="1">
      <c r="B154" s="1"/>
      <c r="C154" s="1"/>
      <c r="D154" s="1"/>
    </row>
    <row r="155" ht="15.75" customHeight="1">
      <c r="B155" s="1"/>
      <c r="C155" s="1"/>
      <c r="D155" s="1"/>
    </row>
    <row r="156" ht="15.75" customHeight="1">
      <c r="B156" s="1"/>
      <c r="C156" s="1"/>
      <c r="D156" s="1"/>
    </row>
    <row r="157" ht="15.75" customHeight="1">
      <c r="B157" s="1"/>
      <c r="C157" s="1"/>
      <c r="D157" s="1"/>
    </row>
    <row r="158" ht="15.75" customHeight="1">
      <c r="B158" s="1"/>
      <c r="C158" s="1"/>
      <c r="D158" s="1"/>
    </row>
    <row r="159" ht="15.75" customHeight="1">
      <c r="B159" s="1"/>
      <c r="C159" s="1"/>
      <c r="D159" s="1"/>
    </row>
    <row r="160" ht="15.75" customHeight="1">
      <c r="B160" s="1"/>
      <c r="C160" s="1"/>
      <c r="D160" s="1"/>
    </row>
    <row r="161" ht="15.75" customHeight="1">
      <c r="B161" s="1"/>
      <c r="C161" s="1"/>
      <c r="D161" s="1"/>
    </row>
    <row r="162" ht="15.75" customHeight="1">
      <c r="B162" s="1"/>
      <c r="C162" s="1"/>
      <c r="D162" s="1"/>
    </row>
    <row r="163" ht="15.75" customHeight="1">
      <c r="B163" s="1"/>
      <c r="C163" s="1"/>
      <c r="D163" s="1"/>
    </row>
    <row r="164" ht="15.75" customHeight="1">
      <c r="B164" s="1"/>
      <c r="C164" s="1"/>
      <c r="D164" s="1"/>
    </row>
    <row r="165" ht="15.75" customHeight="1">
      <c r="B165" s="1"/>
      <c r="C165" s="1"/>
      <c r="D165" s="1"/>
    </row>
    <row r="166" ht="15.75" customHeight="1">
      <c r="B166" s="1"/>
      <c r="C166" s="1"/>
      <c r="D166" s="1"/>
    </row>
    <row r="167" ht="15.75" customHeight="1">
      <c r="B167" s="1"/>
      <c r="C167" s="1"/>
      <c r="D167" s="1"/>
    </row>
    <row r="168" ht="15.75" customHeight="1">
      <c r="B168" s="1"/>
      <c r="C168" s="1"/>
      <c r="D168" s="1"/>
    </row>
    <row r="169" ht="15.75" customHeight="1">
      <c r="B169" s="1"/>
      <c r="C169" s="1"/>
      <c r="D169" s="1"/>
    </row>
    <row r="170" ht="15.75" customHeight="1">
      <c r="B170" s="1"/>
      <c r="C170" s="1"/>
      <c r="D170" s="1"/>
    </row>
    <row r="171" ht="15.75" customHeight="1">
      <c r="B171" s="1"/>
      <c r="C171" s="1"/>
      <c r="D171" s="1"/>
    </row>
    <row r="172" ht="15.75" customHeight="1">
      <c r="B172" s="1"/>
      <c r="C172" s="1"/>
      <c r="D172" s="1"/>
    </row>
    <row r="173" ht="15.75" customHeight="1">
      <c r="B173" s="1"/>
      <c r="C173" s="1"/>
      <c r="D173" s="1"/>
    </row>
    <row r="174" ht="15.75" customHeight="1">
      <c r="B174" s="1"/>
      <c r="C174" s="1"/>
      <c r="D174" s="1"/>
    </row>
    <row r="175" ht="15.75" customHeight="1">
      <c r="B175" s="1"/>
      <c r="C175" s="1"/>
      <c r="D175" s="1"/>
    </row>
    <row r="176" ht="15.75" customHeight="1">
      <c r="B176" s="1"/>
      <c r="C176" s="1"/>
      <c r="D176" s="1"/>
    </row>
    <row r="177" ht="15.75" customHeight="1">
      <c r="B177" s="1"/>
      <c r="C177" s="1"/>
      <c r="D177" s="1"/>
    </row>
    <row r="178" ht="15.75" customHeight="1">
      <c r="B178" s="1"/>
      <c r="C178" s="1"/>
      <c r="D178" s="1"/>
    </row>
    <row r="179" ht="15.75" customHeight="1">
      <c r="B179" s="1"/>
      <c r="C179" s="1"/>
      <c r="D179" s="1"/>
    </row>
    <row r="180" ht="15.75" customHeight="1">
      <c r="B180" s="1"/>
      <c r="C180" s="1"/>
      <c r="D180" s="1"/>
    </row>
    <row r="181" ht="15.75" customHeight="1">
      <c r="B181" s="1"/>
      <c r="C181" s="1"/>
      <c r="D181" s="1"/>
    </row>
    <row r="182" ht="15.75" customHeight="1">
      <c r="B182" s="1"/>
      <c r="C182" s="1"/>
      <c r="D182" s="1"/>
    </row>
    <row r="183" ht="15.75" customHeight="1">
      <c r="B183" s="1"/>
      <c r="C183" s="1"/>
      <c r="D183" s="1"/>
    </row>
    <row r="184" ht="15.75" customHeight="1">
      <c r="B184" s="1"/>
      <c r="C184" s="1"/>
      <c r="D184" s="1"/>
    </row>
    <row r="185" ht="15.75" customHeight="1">
      <c r="B185" s="1"/>
      <c r="C185" s="1"/>
      <c r="D185" s="1"/>
    </row>
    <row r="186" ht="15.75" customHeight="1">
      <c r="B186" s="1"/>
      <c r="C186" s="1"/>
      <c r="D186" s="1"/>
    </row>
    <row r="187" ht="15.75" customHeight="1">
      <c r="B187" s="1"/>
      <c r="C187" s="1"/>
      <c r="D187" s="1"/>
    </row>
    <row r="188" ht="15.75" customHeight="1">
      <c r="B188" s="1"/>
      <c r="C188" s="1"/>
      <c r="D188" s="1"/>
    </row>
    <row r="189" ht="15.75" customHeight="1">
      <c r="B189" s="1"/>
      <c r="C189" s="1"/>
      <c r="D189" s="1"/>
    </row>
    <row r="190" ht="15.75" customHeight="1">
      <c r="B190" s="1"/>
      <c r="C190" s="1"/>
      <c r="D190" s="1"/>
    </row>
    <row r="191" ht="15.75" customHeight="1">
      <c r="B191" s="1"/>
      <c r="C191" s="1"/>
      <c r="D191" s="1"/>
    </row>
    <row r="192" ht="15.75" customHeight="1">
      <c r="B192" s="1"/>
      <c r="C192" s="1"/>
      <c r="D192" s="1"/>
    </row>
    <row r="193" ht="15.75" customHeight="1">
      <c r="B193" s="1"/>
      <c r="C193" s="1"/>
      <c r="D193" s="1"/>
    </row>
    <row r="194" ht="15.75" customHeight="1">
      <c r="B194" s="1"/>
      <c r="C194" s="1"/>
      <c r="D194" s="1"/>
    </row>
    <row r="195" ht="15.75" customHeight="1">
      <c r="B195" s="1"/>
      <c r="C195" s="1"/>
      <c r="D195" s="1"/>
    </row>
    <row r="196" ht="15.75" customHeight="1">
      <c r="B196" s="1"/>
      <c r="C196" s="1"/>
      <c r="D196" s="1"/>
    </row>
    <row r="197" ht="15.75" customHeight="1">
      <c r="B197" s="1"/>
      <c r="C197" s="1"/>
      <c r="D197" s="1"/>
    </row>
    <row r="198" ht="15.75" customHeight="1">
      <c r="B198" s="1"/>
      <c r="C198" s="1"/>
      <c r="D198" s="1"/>
    </row>
    <row r="199" ht="15.75" customHeight="1">
      <c r="B199" s="1"/>
      <c r="C199" s="1"/>
      <c r="D199" s="1"/>
    </row>
    <row r="200" ht="15.75" customHeight="1">
      <c r="B200" s="1"/>
      <c r="C200" s="1"/>
      <c r="D200" s="1"/>
    </row>
    <row r="201" ht="15.75" customHeight="1">
      <c r="B201" s="1"/>
      <c r="C201" s="1"/>
      <c r="D201" s="1"/>
    </row>
    <row r="202" ht="15.75" customHeight="1">
      <c r="B202" s="1"/>
      <c r="C202" s="1"/>
      <c r="D202" s="1"/>
    </row>
    <row r="203" ht="15.75" customHeight="1">
      <c r="B203" s="1"/>
      <c r="C203" s="1"/>
      <c r="D203" s="1"/>
    </row>
    <row r="204" ht="15.75" customHeight="1">
      <c r="B204" s="1"/>
      <c r="C204" s="1"/>
      <c r="D204" s="1"/>
    </row>
    <row r="205" ht="15.75" customHeight="1">
      <c r="B205" s="1"/>
      <c r="C205" s="1"/>
      <c r="D205" s="1"/>
    </row>
    <row r="206" ht="15.75" customHeight="1">
      <c r="B206" s="1"/>
      <c r="C206" s="1"/>
      <c r="D206" s="1"/>
    </row>
    <row r="207" ht="15.75" customHeight="1">
      <c r="B207" s="1"/>
      <c r="C207" s="1"/>
      <c r="D207" s="1"/>
    </row>
    <row r="208" ht="15.75" customHeight="1">
      <c r="B208" s="1"/>
      <c r="C208" s="1"/>
      <c r="D208" s="1"/>
    </row>
    <row r="209" ht="15.75" customHeight="1">
      <c r="B209" s="1"/>
      <c r="C209" s="1"/>
      <c r="D209" s="1"/>
    </row>
    <row r="210" ht="15.75" customHeight="1">
      <c r="B210" s="1"/>
      <c r="C210" s="1"/>
      <c r="D210" s="1"/>
    </row>
    <row r="211" ht="15.75" customHeight="1">
      <c r="B211" s="1"/>
      <c r="C211" s="1"/>
      <c r="D211" s="1"/>
    </row>
    <row r="212" ht="15.75" customHeight="1">
      <c r="B212" s="1"/>
      <c r="C212" s="1"/>
      <c r="D212" s="1"/>
    </row>
    <row r="213" ht="15.75" customHeight="1">
      <c r="B213" s="1"/>
      <c r="C213" s="1"/>
      <c r="D213" s="1"/>
    </row>
    <row r="214" ht="15.75" customHeight="1">
      <c r="B214" s="1"/>
      <c r="C214" s="1"/>
      <c r="D214" s="1"/>
    </row>
    <row r="215" ht="15.75" customHeight="1">
      <c r="B215" s="1"/>
      <c r="C215" s="1"/>
      <c r="D215" s="1"/>
    </row>
    <row r="216" ht="15.75" customHeight="1">
      <c r="B216" s="1"/>
      <c r="C216" s="1"/>
      <c r="D216" s="1"/>
    </row>
    <row r="217" ht="15.75" customHeight="1">
      <c r="B217" s="1"/>
      <c r="C217" s="1"/>
      <c r="D217" s="1"/>
    </row>
    <row r="218" ht="15.75" customHeight="1">
      <c r="B218" s="1"/>
      <c r="C218" s="1"/>
      <c r="D218" s="1"/>
    </row>
    <row r="219" ht="15.75" customHeight="1">
      <c r="B219" s="1"/>
      <c r="C219" s="1"/>
      <c r="D219" s="1"/>
    </row>
    <row r="220" ht="15.75" customHeight="1">
      <c r="B220" s="1"/>
      <c r="C220" s="1"/>
      <c r="D220" s="1"/>
    </row>
    <row r="221" ht="15.75" customHeight="1">
      <c r="B221" s="1"/>
      <c r="C221" s="1"/>
      <c r="D221" s="1"/>
    </row>
    <row r="222" ht="15.75" customHeight="1">
      <c r="B222" s="1"/>
      <c r="C222" s="1"/>
      <c r="D222" s="1"/>
    </row>
    <row r="223" ht="15.75" customHeight="1">
      <c r="B223" s="1"/>
      <c r="C223" s="1"/>
      <c r="D223" s="1"/>
    </row>
    <row r="224" ht="15.75" customHeight="1">
      <c r="B224" s="1"/>
      <c r="C224" s="1"/>
      <c r="D224" s="1"/>
    </row>
    <row r="225" ht="15.75" customHeight="1">
      <c r="B225" s="1"/>
      <c r="C225" s="1"/>
      <c r="D225" s="1"/>
    </row>
    <row r="226" ht="15.75" customHeight="1">
      <c r="B226" s="1"/>
      <c r="C226" s="1"/>
      <c r="D226" s="1"/>
    </row>
    <row r="227" ht="15.75" customHeight="1">
      <c r="B227" s="1"/>
      <c r="C227" s="1"/>
      <c r="D227" s="1"/>
    </row>
    <row r="228" ht="15.75" customHeight="1">
      <c r="B228" s="1"/>
      <c r="C228" s="1"/>
      <c r="D228" s="1"/>
    </row>
    <row r="229" ht="15.75" customHeight="1">
      <c r="B229" s="1"/>
      <c r="C229" s="1"/>
      <c r="D229" s="1"/>
    </row>
    <row r="230" ht="15.75" customHeight="1">
      <c r="B230" s="1"/>
      <c r="C230" s="1"/>
      <c r="D230" s="1"/>
    </row>
    <row r="231" ht="15.75" customHeight="1">
      <c r="B231" s="1"/>
      <c r="C231" s="1"/>
      <c r="D231" s="1"/>
    </row>
    <row r="232" ht="15.75" customHeight="1">
      <c r="B232" s="1"/>
      <c r="C232" s="1"/>
      <c r="D232" s="1"/>
    </row>
    <row r="233" ht="15.75" customHeight="1">
      <c r="B233" s="1"/>
      <c r="C233" s="1"/>
      <c r="D233" s="1"/>
    </row>
    <row r="234" ht="15.75" customHeight="1">
      <c r="B234" s="1"/>
      <c r="C234" s="1"/>
      <c r="D234" s="1"/>
    </row>
    <row r="235" ht="15.75" customHeight="1">
      <c r="B235" s="1"/>
      <c r="C235" s="1"/>
      <c r="D235" s="1"/>
    </row>
    <row r="236" ht="15.75" customHeight="1">
      <c r="B236" s="1"/>
      <c r="C236" s="1"/>
      <c r="D236" s="1"/>
    </row>
    <row r="237" ht="15.75" customHeight="1">
      <c r="B237" s="1"/>
      <c r="C237" s="1"/>
      <c r="D237" s="1"/>
    </row>
    <row r="238" ht="15.75" customHeight="1">
      <c r="B238" s="1"/>
      <c r="C238" s="1"/>
      <c r="D238" s="1"/>
    </row>
    <row r="239" ht="15.75" customHeight="1">
      <c r="B239" s="1"/>
      <c r="C239" s="1"/>
      <c r="D239" s="1"/>
    </row>
    <row r="240" ht="15.75" customHeight="1">
      <c r="B240" s="1"/>
      <c r="C240" s="1"/>
      <c r="D240" s="1"/>
    </row>
    <row r="241" ht="15.75" customHeight="1">
      <c r="B241" s="1"/>
      <c r="C241" s="1"/>
      <c r="D241" s="1"/>
    </row>
    <row r="242" ht="15.75" customHeight="1">
      <c r="B242" s="1"/>
      <c r="C242" s="1"/>
      <c r="D242" s="1"/>
    </row>
    <row r="243" ht="15.75" customHeight="1">
      <c r="B243" s="1"/>
      <c r="C243" s="1"/>
      <c r="D243" s="1"/>
    </row>
    <row r="244" ht="15.75" customHeight="1">
      <c r="B244" s="1"/>
      <c r="C244" s="1"/>
      <c r="D244" s="1"/>
    </row>
    <row r="245" ht="15.75" customHeight="1">
      <c r="B245" s="1"/>
      <c r="C245" s="1"/>
      <c r="D245" s="1"/>
    </row>
    <row r="246" ht="15.75" customHeight="1">
      <c r="B246" s="1"/>
      <c r="C246" s="1"/>
      <c r="D246" s="1"/>
    </row>
    <row r="247" ht="15.75" customHeight="1">
      <c r="B247" s="1"/>
      <c r="C247" s="1"/>
      <c r="D247" s="1"/>
    </row>
    <row r="248" ht="15.75" customHeight="1">
      <c r="B248" s="1"/>
      <c r="C248" s="1"/>
      <c r="D248" s="1"/>
    </row>
    <row r="249" ht="15.75" customHeight="1">
      <c r="B249" s="1"/>
      <c r="C249" s="1"/>
      <c r="D249" s="1"/>
    </row>
    <row r="250" ht="15.75" customHeight="1">
      <c r="B250" s="1"/>
      <c r="C250" s="1"/>
      <c r="D250" s="1"/>
    </row>
    <row r="251" ht="15.75" customHeight="1">
      <c r="B251" s="1"/>
      <c r="C251" s="1"/>
      <c r="D251" s="1"/>
    </row>
    <row r="252" ht="15.75" customHeight="1">
      <c r="B252" s="1"/>
      <c r="C252" s="1"/>
      <c r="D252" s="1"/>
    </row>
    <row r="253" ht="15.75" customHeight="1">
      <c r="B253" s="1"/>
      <c r="C253" s="1"/>
      <c r="D253" s="1"/>
    </row>
    <row r="254" ht="15.75" customHeight="1">
      <c r="B254" s="1"/>
      <c r="C254" s="1"/>
      <c r="D254" s="1"/>
    </row>
    <row r="255" ht="15.75" customHeight="1">
      <c r="B255" s="1"/>
      <c r="C255" s="1"/>
      <c r="D255" s="1"/>
    </row>
    <row r="256" ht="15.75" customHeight="1">
      <c r="B256" s="1"/>
      <c r="C256" s="1"/>
      <c r="D256" s="1"/>
    </row>
    <row r="257" ht="15.75" customHeight="1">
      <c r="B257" s="1"/>
      <c r="C257" s="1"/>
      <c r="D257" s="1"/>
    </row>
    <row r="258" ht="15.75" customHeight="1">
      <c r="B258" s="1"/>
      <c r="C258" s="1"/>
      <c r="D258" s="1"/>
    </row>
    <row r="259" ht="15.75" customHeight="1">
      <c r="B259" s="1"/>
      <c r="C259" s="1"/>
      <c r="D259" s="1"/>
    </row>
    <row r="260" ht="15.75" customHeight="1">
      <c r="B260" s="1"/>
      <c r="C260" s="1"/>
      <c r="D260" s="1"/>
    </row>
    <row r="261" ht="15.75" customHeight="1">
      <c r="B261" s="1"/>
      <c r="C261" s="1"/>
      <c r="D261" s="1"/>
    </row>
    <row r="262" ht="15.75" customHeight="1">
      <c r="B262" s="1"/>
      <c r="C262" s="1"/>
      <c r="D262" s="1"/>
    </row>
    <row r="263" ht="15.75" customHeight="1">
      <c r="B263" s="1"/>
      <c r="C263" s="1"/>
      <c r="D263" s="1"/>
    </row>
    <row r="264" ht="15.75" customHeight="1">
      <c r="B264" s="1"/>
      <c r="C264" s="1"/>
      <c r="D264" s="1"/>
    </row>
    <row r="265" ht="15.75" customHeight="1">
      <c r="B265" s="1"/>
      <c r="C265" s="1"/>
      <c r="D265" s="1"/>
    </row>
    <row r="266" ht="15.75" customHeight="1">
      <c r="B266" s="1"/>
      <c r="C266" s="1"/>
      <c r="D266" s="1"/>
    </row>
    <row r="267" ht="15.75" customHeight="1">
      <c r="B267" s="1"/>
      <c r="C267" s="1"/>
      <c r="D267" s="1"/>
    </row>
    <row r="268" ht="15.75" customHeight="1">
      <c r="B268" s="1"/>
      <c r="C268" s="1"/>
      <c r="D268" s="1"/>
    </row>
    <row r="269" ht="15.75" customHeight="1">
      <c r="B269" s="1"/>
      <c r="C269" s="1"/>
      <c r="D269" s="1"/>
    </row>
    <row r="270" ht="15.75" customHeight="1">
      <c r="B270" s="1"/>
      <c r="C270" s="1"/>
      <c r="D270" s="1"/>
    </row>
    <row r="271" ht="15.75" customHeight="1">
      <c r="B271" s="1"/>
      <c r="C271" s="1"/>
      <c r="D271" s="1"/>
    </row>
    <row r="272" ht="15.75" customHeight="1">
      <c r="B272" s="1"/>
      <c r="C272" s="1"/>
      <c r="D272" s="1"/>
    </row>
    <row r="273" ht="15.75" customHeight="1">
      <c r="B273" s="1"/>
      <c r="C273" s="1"/>
      <c r="D273" s="1"/>
    </row>
    <row r="274" ht="15.75" customHeight="1">
      <c r="B274" s="1"/>
      <c r="C274" s="1"/>
      <c r="D274" s="1"/>
    </row>
    <row r="275" ht="15.75" customHeight="1">
      <c r="B275" s="1"/>
      <c r="C275" s="1"/>
      <c r="D275" s="1"/>
    </row>
    <row r="276" ht="15.75" customHeight="1">
      <c r="B276" s="1"/>
      <c r="C276" s="1"/>
      <c r="D276" s="1"/>
    </row>
    <row r="277" ht="15.75" customHeight="1">
      <c r="B277" s="1"/>
      <c r="C277" s="1"/>
      <c r="D277" s="1"/>
    </row>
    <row r="278" ht="15.75" customHeight="1">
      <c r="B278" s="1"/>
      <c r="C278" s="1"/>
      <c r="D278" s="1"/>
    </row>
    <row r="279" ht="15.75" customHeight="1">
      <c r="B279" s="1"/>
      <c r="C279" s="1"/>
      <c r="D279" s="1"/>
    </row>
    <row r="280" ht="15.75" customHeight="1">
      <c r="B280" s="1"/>
      <c r="C280" s="1"/>
      <c r="D280" s="1"/>
    </row>
    <row r="281" ht="15.75" customHeight="1">
      <c r="B281" s="1"/>
      <c r="C281" s="1"/>
      <c r="D281" s="1"/>
    </row>
    <row r="282" ht="15.75" customHeight="1">
      <c r="B282" s="1"/>
      <c r="C282" s="1"/>
      <c r="D282" s="1"/>
    </row>
    <row r="283" ht="15.75" customHeight="1">
      <c r="B283" s="1"/>
      <c r="C283" s="1"/>
      <c r="D283" s="1"/>
    </row>
    <row r="284" ht="15.75" customHeight="1">
      <c r="B284" s="1"/>
      <c r="C284" s="1"/>
      <c r="D284" s="1"/>
    </row>
    <row r="285" ht="15.75" customHeight="1">
      <c r="B285" s="1"/>
      <c r="C285" s="1"/>
      <c r="D285" s="1"/>
    </row>
    <row r="286" ht="15.75" customHeight="1">
      <c r="B286" s="1"/>
      <c r="C286" s="1"/>
      <c r="D286" s="1"/>
    </row>
    <row r="287" ht="15.75" customHeight="1">
      <c r="B287" s="1"/>
      <c r="C287" s="1"/>
      <c r="D287" s="1"/>
    </row>
    <row r="288" ht="15.75" customHeight="1">
      <c r="B288" s="1"/>
      <c r="C288" s="1"/>
      <c r="D288" s="1"/>
    </row>
    <row r="289" ht="15.75" customHeight="1">
      <c r="B289" s="1"/>
      <c r="C289" s="1"/>
      <c r="D289" s="1"/>
    </row>
    <row r="290" ht="15.75" customHeight="1">
      <c r="B290" s="1"/>
      <c r="C290" s="1"/>
      <c r="D290" s="1"/>
    </row>
    <row r="291" ht="15.75" customHeight="1">
      <c r="B291" s="1"/>
      <c r="C291" s="1"/>
      <c r="D291" s="1"/>
    </row>
    <row r="292" ht="15.75" customHeight="1">
      <c r="B292" s="1"/>
      <c r="C292" s="1"/>
      <c r="D292" s="1"/>
    </row>
    <row r="293" ht="15.75" customHeight="1">
      <c r="B293" s="1"/>
      <c r="C293" s="1"/>
      <c r="D293" s="1"/>
    </row>
    <row r="294" ht="15.75" customHeight="1">
      <c r="B294" s="1"/>
      <c r="C294" s="1"/>
      <c r="D294" s="1"/>
    </row>
    <row r="295" ht="15.75" customHeight="1">
      <c r="B295" s="1"/>
      <c r="C295" s="1"/>
      <c r="D295" s="1"/>
    </row>
    <row r="296" ht="15.75" customHeight="1">
      <c r="B296" s="1"/>
      <c r="C296" s="1"/>
      <c r="D296" s="1"/>
    </row>
    <row r="297" ht="15.75" customHeight="1">
      <c r="B297" s="1"/>
      <c r="C297" s="1"/>
      <c r="D297" s="1"/>
    </row>
    <row r="298" ht="15.75" customHeight="1">
      <c r="B298" s="1"/>
      <c r="C298" s="1"/>
      <c r="D298" s="1"/>
    </row>
    <row r="299" ht="15.75" customHeight="1">
      <c r="B299" s="1"/>
      <c r="C299" s="1"/>
      <c r="D299" s="1"/>
    </row>
    <row r="300" ht="15.75" customHeight="1">
      <c r="B300" s="1"/>
      <c r="C300" s="1"/>
      <c r="D300" s="1"/>
    </row>
    <row r="301" ht="15.75" customHeight="1">
      <c r="B301" s="1"/>
      <c r="C301" s="1"/>
      <c r="D301" s="1"/>
    </row>
    <row r="302" ht="15.75" customHeight="1">
      <c r="B302" s="1"/>
      <c r="C302" s="1"/>
      <c r="D302" s="1"/>
    </row>
    <row r="303" ht="15.75" customHeight="1">
      <c r="B303" s="1"/>
      <c r="C303" s="1"/>
      <c r="D303" s="1"/>
    </row>
    <row r="304" ht="15.75" customHeight="1">
      <c r="B304" s="1"/>
      <c r="C304" s="1"/>
      <c r="D304" s="1"/>
    </row>
    <row r="305" ht="15.75" customHeight="1">
      <c r="B305" s="1"/>
      <c r="C305" s="1"/>
      <c r="D305" s="1"/>
    </row>
    <row r="306" ht="15.75" customHeight="1">
      <c r="B306" s="1"/>
      <c r="C306" s="1"/>
      <c r="D306" s="1"/>
    </row>
    <row r="307" ht="15.75" customHeight="1">
      <c r="B307" s="1"/>
      <c r="C307" s="1"/>
      <c r="D307" s="1"/>
    </row>
    <row r="308" ht="15.75" customHeight="1">
      <c r="B308" s="1"/>
      <c r="C308" s="1"/>
      <c r="D308" s="1"/>
    </row>
    <row r="309" ht="15.75" customHeight="1">
      <c r="B309" s="1"/>
      <c r="C309" s="1"/>
      <c r="D309" s="1"/>
    </row>
    <row r="310" ht="15.75" customHeight="1">
      <c r="B310" s="1"/>
      <c r="C310" s="1"/>
      <c r="D310" s="1"/>
    </row>
    <row r="311" ht="15.75" customHeight="1">
      <c r="B311" s="1"/>
      <c r="C311" s="1"/>
      <c r="D311" s="1"/>
    </row>
    <row r="312" ht="15.75" customHeight="1">
      <c r="B312" s="1"/>
      <c r="C312" s="1"/>
      <c r="D312" s="1"/>
    </row>
    <row r="313" ht="15.75" customHeight="1">
      <c r="B313" s="1"/>
      <c r="C313" s="1"/>
      <c r="D313" s="1"/>
    </row>
    <row r="314" ht="15.75" customHeight="1">
      <c r="B314" s="1"/>
      <c r="C314" s="1"/>
      <c r="D314" s="1"/>
    </row>
    <row r="315" ht="15.75" customHeight="1">
      <c r="B315" s="1"/>
      <c r="C315" s="1"/>
      <c r="D315" s="1"/>
    </row>
    <row r="316" ht="15.75" customHeight="1">
      <c r="B316" s="1"/>
      <c r="C316" s="1"/>
      <c r="D316" s="1"/>
    </row>
    <row r="317" ht="15.75" customHeight="1">
      <c r="B317" s="1"/>
      <c r="C317" s="1"/>
      <c r="D317" s="1"/>
    </row>
    <row r="318" ht="15.75" customHeight="1">
      <c r="B318" s="1"/>
      <c r="C318" s="1"/>
      <c r="D318" s="1"/>
    </row>
    <row r="319" ht="15.75" customHeight="1">
      <c r="B319" s="1"/>
      <c r="C319" s="1"/>
      <c r="D319" s="1"/>
    </row>
    <row r="320" ht="15.75" customHeight="1">
      <c r="B320" s="1"/>
      <c r="C320" s="1"/>
      <c r="D320" s="1"/>
    </row>
    <row r="321" ht="15.75" customHeight="1">
      <c r="B321" s="1"/>
      <c r="C321" s="1"/>
      <c r="D321" s="1"/>
    </row>
    <row r="322" ht="15.75" customHeight="1">
      <c r="B322" s="1"/>
      <c r="C322" s="1"/>
      <c r="D322" s="1"/>
    </row>
    <row r="323" ht="15.75" customHeight="1">
      <c r="B323" s="1"/>
      <c r="C323" s="1"/>
      <c r="D323" s="1"/>
    </row>
    <row r="324" ht="15.75" customHeight="1">
      <c r="B324" s="1"/>
      <c r="C324" s="1"/>
      <c r="D324" s="1"/>
    </row>
    <row r="325" ht="15.75" customHeight="1">
      <c r="B325" s="1"/>
      <c r="C325" s="1"/>
      <c r="D325" s="1"/>
    </row>
    <row r="326" ht="15.75" customHeight="1">
      <c r="B326" s="1"/>
      <c r="C326" s="1"/>
      <c r="D326" s="1"/>
    </row>
    <row r="327" ht="15.75" customHeight="1">
      <c r="B327" s="1"/>
      <c r="C327" s="1"/>
      <c r="D327" s="1"/>
    </row>
    <row r="328" ht="15.75" customHeight="1">
      <c r="B328" s="1"/>
      <c r="C328" s="1"/>
      <c r="D328" s="1"/>
    </row>
    <row r="329" ht="15.75" customHeight="1">
      <c r="B329" s="1"/>
      <c r="C329" s="1"/>
      <c r="D329" s="1"/>
    </row>
    <row r="330" ht="15.75" customHeight="1">
      <c r="B330" s="1"/>
      <c r="C330" s="1"/>
      <c r="D330" s="1"/>
    </row>
    <row r="331" ht="15.75" customHeight="1">
      <c r="B331" s="1"/>
      <c r="C331" s="1"/>
      <c r="D331" s="1"/>
    </row>
    <row r="332" ht="15.75" customHeight="1">
      <c r="B332" s="1"/>
      <c r="C332" s="1"/>
      <c r="D332" s="1"/>
    </row>
    <row r="333" ht="15.75" customHeight="1">
      <c r="B333" s="1"/>
      <c r="C333" s="1"/>
      <c r="D333" s="1"/>
    </row>
    <row r="334" ht="15.75" customHeight="1">
      <c r="B334" s="1"/>
      <c r="C334" s="1"/>
      <c r="D334" s="1"/>
    </row>
    <row r="335" ht="15.75" customHeight="1">
      <c r="B335" s="1"/>
      <c r="C335" s="1"/>
      <c r="D335" s="1"/>
    </row>
    <row r="336" ht="15.75" customHeight="1">
      <c r="B336" s="1"/>
      <c r="C336" s="1"/>
      <c r="D336" s="1"/>
    </row>
    <row r="337" ht="15.75" customHeight="1">
      <c r="B337" s="1"/>
      <c r="C337" s="1"/>
      <c r="D337" s="1"/>
    </row>
    <row r="338" ht="15.75" customHeight="1">
      <c r="B338" s="1"/>
      <c r="C338" s="1"/>
      <c r="D338" s="1"/>
    </row>
    <row r="339" ht="15.75" customHeight="1">
      <c r="B339" s="1"/>
      <c r="C339" s="1"/>
      <c r="D339" s="1"/>
    </row>
    <row r="340" ht="15.75" customHeight="1">
      <c r="B340" s="1"/>
      <c r="C340" s="1"/>
      <c r="D340" s="1"/>
    </row>
    <row r="341" ht="15.75" customHeight="1">
      <c r="B341" s="1"/>
      <c r="C341" s="1"/>
      <c r="D341" s="1"/>
    </row>
    <row r="342" ht="15.75" customHeight="1">
      <c r="B342" s="1"/>
      <c r="C342" s="1"/>
      <c r="D342" s="1"/>
    </row>
    <row r="343" ht="15.75" customHeight="1">
      <c r="B343" s="1"/>
      <c r="C343" s="1"/>
      <c r="D343" s="1"/>
    </row>
    <row r="344" ht="15.75" customHeight="1">
      <c r="B344" s="1"/>
      <c r="C344" s="1"/>
      <c r="D344" s="1"/>
    </row>
    <row r="345" ht="15.75" customHeight="1">
      <c r="B345" s="1"/>
      <c r="C345" s="1"/>
      <c r="D345" s="1"/>
    </row>
    <row r="346" ht="15.75" customHeight="1">
      <c r="B346" s="1"/>
      <c r="C346" s="1"/>
      <c r="D346" s="1"/>
    </row>
    <row r="347" ht="15.75" customHeight="1">
      <c r="B347" s="1"/>
      <c r="C347" s="1"/>
      <c r="D347" s="1"/>
    </row>
    <row r="348" ht="15.75" customHeight="1">
      <c r="B348" s="1"/>
      <c r="C348" s="1"/>
      <c r="D348" s="1"/>
    </row>
    <row r="349" ht="15.75" customHeight="1">
      <c r="B349" s="1"/>
      <c r="C349" s="1"/>
      <c r="D349" s="1"/>
    </row>
    <row r="350" ht="15.75" customHeight="1">
      <c r="B350" s="1"/>
      <c r="C350" s="1"/>
      <c r="D350" s="1"/>
    </row>
    <row r="351" ht="15.75" customHeight="1">
      <c r="B351" s="1"/>
      <c r="C351" s="1"/>
      <c r="D351" s="1"/>
    </row>
    <row r="352" ht="15.75" customHeight="1">
      <c r="B352" s="1"/>
      <c r="C352" s="1"/>
      <c r="D352" s="1"/>
    </row>
    <row r="353" ht="15.75" customHeight="1">
      <c r="B353" s="1"/>
      <c r="C353" s="1"/>
      <c r="D353" s="1"/>
    </row>
    <row r="354" ht="15.75" customHeight="1">
      <c r="B354" s="1"/>
      <c r="C354" s="1"/>
      <c r="D354" s="1"/>
    </row>
    <row r="355" ht="15.75" customHeight="1">
      <c r="B355" s="1"/>
      <c r="C355" s="1"/>
      <c r="D355" s="1"/>
    </row>
    <row r="356" ht="15.75" customHeight="1">
      <c r="B356" s="1"/>
      <c r="C356" s="1"/>
      <c r="D356" s="1"/>
    </row>
    <row r="357" ht="15.75" customHeight="1">
      <c r="B357" s="1"/>
      <c r="C357" s="1"/>
      <c r="D357" s="1"/>
    </row>
    <row r="358" ht="15.75" customHeight="1">
      <c r="B358" s="1"/>
      <c r="C358" s="1"/>
      <c r="D358" s="1"/>
    </row>
    <row r="359" ht="15.75" customHeight="1">
      <c r="B359" s="1"/>
      <c r="C359" s="1"/>
      <c r="D359" s="1"/>
    </row>
    <row r="360" ht="15.75" customHeight="1">
      <c r="B360" s="1"/>
      <c r="C360" s="1"/>
      <c r="D360" s="1"/>
    </row>
    <row r="361" ht="15.75" customHeight="1">
      <c r="B361" s="1"/>
      <c r="C361" s="1"/>
      <c r="D361" s="1"/>
    </row>
    <row r="362" ht="15.75" customHeight="1">
      <c r="B362" s="1"/>
      <c r="C362" s="1"/>
      <c r="D362" s="1"/>
    </row>
    <row r="363" ht="15.75" customHeight="1">
      <c r="B363" s="1"/>
      <c r="C363" s="1"/>
      <c r="D363" s="1"/>
    </row>
    <row r="364" ht="15.75" customHeight="1">
      <c r="B364" s="1"/>
      <c r="C364" s="1"/>
      <c r="D364" s="1"/>
    </row>
    <row r="365" ht="15.75" customHeight="1">
      <c r="B365" s="1"/>
      <c r="C365" s="1"/>
      <c r="D365" s="1"/>
    </row>
    <row r="366" ht="15.75" customHeight="1">
      <c r="B366" s="1"/>
      <c r="C366" s="1"/>
      <c r="D366" s="1"/>
    </row>
    <row r="367" ht="15.75" customHeight="1">
      <c r="B367" s="1"/>
      <c r="C367" s="1"/>
      <c r="D367" s="1"/>
    </row>
    <row r="368" ht="15.75" customHeight="1">
      <c r="B368" s="1"/>
      <c r="C368" s="1"/>
      <c r="D368" s="1"/>
    </row>
    <row r="369" ht="15.75" customHeight="1">
      <c r="B369" s="1"/>
      <c r="C369" s="1"/>
      <c r="D369" s="1"/>
    </row>
    <row r="370" ht="15.75" customHeight="1">
      <c r="B370" s="1"/>
      <c r="C370" s="1"/>
      <c r="D370" s="1"/>
    </row>
    <row r="371" ht="15.75" customHeight="1">
      <c r="B371" s="1"/>
      <c r="C371" s="1"/>
      <c r="D371" s="1"/>
    </row>
    <row r="372" ht="15.75" customHeight="1">
      <c r="B372" s="1"/>
      <c r="C372" s="1"/>
      <c r="D372" s="1"/>
    </row>
    <row r="373" ht="15.75" customHeight="1">
      <c r="B373" s="1"/>
      <c r="C373" s="1"/>
      <c r="D373" s="1"/>
    </row>
    <row r="374" ht="15.75" customHeight="1">
      <c r="B374" s="1"/>
      <c r="C374" s="1"/>
      <c r="D374" s="1"/>
    </row>
    <row r="375" ht="15.75" customHeight="1">
      <c r="B375" s="1"/>
      <c r="C375" s="1"/>
      <c r="D375" s="1"/>
    </row>
    <row r="376" ht="15.75" customHeight="1">
      <c r="B376" s="1"/>
      <c r="C376" s="1"/>
      <c r="D376" s="1"/>
    </row>
    <row r="377" ht="15.75" customHeight="1">
      <c r="B377" s="1"/>
      <c r="C377" s="1"/>
      <c r="D377" s="1"/>
    </row>
    <row r="378" ht="15.75" customHeight="1">
      <c r="B378" s="1"/>
      <c r="C378" s="1"/>
      <c r="D378" s="1"/>
    </row>
    <row r="379" ht="15.75" customHeight="1">
      <c r="B379" s="1"/>
      <c r="C379" s="1"/>
      <c r="D379" s="1"/>
    </row>
    <row r="380" ht="15.75" customHeight="1">
      <c r="B380" s="1"/>
      <c r="C380" s="1"/>
      <c r="D380" s="1"/>
    </row>
    <row r="381" ht="15.75" customHeight="1">
      <c r="B381" s="1"/>
      <c r="C381" s="1"/>
      <c r="D381" s="1"/>
    </row>
    <row r="382" ht="15.75" customHeight="1">
      <c r="B382" s="1"/>
      <c r="C382" s="1"/>
      <c r="D382" s="1"/>
    </row>
    <row r="383" ht="15.75" customHeight="1">
      <c r="B383" s="1"/>
      <c r="C383" s="1"/>
      <c r="D383" s="1"/>
    </row>
    <row r="384" ht="15.75" customHeight="1">
      <c r="B384" s="1"/>
      <c r="C384" s="1"/>
      <c r="D384" s="1"/>
    </row>
    <row r="385" ht="15.75" customHeight="1">
      <c r="B385" s="1"/>
      <c r="C385" s="1"/>
      <c r="D385" s="1"/>
    </row>
    <row r="386" ht="15.75" customHeight="1">
      <c r="B386" s="1"/>
      <c r="C386" s="1"/>
      <c r="D386" s="1"/>
    </row>
    <row r="387" ht="15.75" customHeight="1">
      <c r="B387" s="1"/>
      <c r="C387" s="1"/>
      <c r="D387" s="1"/>
    </row>
    <row r="388" ht="15.75" customHeight="1">
      <c r="B388" s="1"/>
      <c r="C388" s="1"/>
      <c r="D388" s="1"/>
    </row>
    <row r="389" ht="15.75" customHeight="1">
      <c r="B389" s="1"/>
      <c r="C389" s="1"/>
      <c r="D389" s="1"/>
    </row>
    <row r="390" ht="15.75" customHeight="1">
      <c r="B390" s="1"/>
      <c r="C390" s="1"/>
      <c r="D390" s="1"/>
    </row>
    <row r="391" ht="15.75" customHeight="1">
      <c r="B391" s="1"/>
      <c r="C391" s="1"/>
      <c r="D391" s="1"/>
    </row>
    <row r="392" ht="15.75" customHeight="1">
      <c r="B392" s="1"/>
      <c r="C392" s="1"/>
      <c r="D392" s="1"/>
    </row>
    <row r="393" ht="15.75" customHeight="1">
      <c r="B393" s="1"/>
      <c r="C393" s="1"/>
      <c r="D393" s="1"/>
    </row>
    <row r="394" ht="15.75" customHeight="1">
      <c r="B394" s="1"/>
      <c r="C394" s="1"/>
      <c r="D394" s="1"/>
    </row>
    <row r="395" ht="15.75" customHeight="1">
      <c r="B395" s="1"/>
      <c r="C395" s="1"/>
      <c r="D395" s="1"/>
    </row>
    <row r="396" ht="15.75" customHeight="1">
      <c r="B396" s="1"/>
      <c r="C396" s="1"/>
      <c r="D396" s="1"/>
    </row>
    <row r="397" ht="15.75" customHeight="1">
      <c r="B397" s="1"/>
      <c r="C397" s="1"/>
      <c r="D397" s="1"/>
    </row>
    <row r="398" ht="15.75" customHeight="1">
      <c r="B398" s="1"/>
      <c r="C398" s="1"/>
      <c r="D398" s="1"/>
    </row>
    <row r="399" ht="15.75" customHeight="1">
      <c r="B399" s="1"/>
      <c r="C399" s="1"/>
      <c r="D399" s="1"/>
    </row>
    <row r="400" ht="15.75" customHeight="1">
      <c r="B400" s="1"/>
      <c r="C400" s="1"/>
      <c r="D400" s="1"/>
    </row>
    <row r="401" ht="15.75" customHeight="1">
      <c r="B401" s="1"/>
      <c r="C401" s="1"/>
      <c r="D401" s="1"/>
    </row>
    <row r="402" ht="15.75" customHeight="1">
      <c r="B402" s="1"/>
      <c r="C402" s="1"/>
      <c r="D402" s="1"/>
    </row>
    <row r="403" ht="15.75" customHeight="1">
      <c r="B403" s="1"/>
      <c r="C403" s="1"/>
      <c r="D403" s="1"/>
    </row>
    <row r="404" ht="15.75" customHeight="1">
      <c r="B404" s="1"/>
      <c r="C404" s="1"/>
      <c r="D404" s="1"/>
    </row>
    <row r="405" ht="15.75" customHeight="1">
      <c r="B405" s="1"/>
      <c r="C405" s="1"/>
      <c r="D405" s="1"/>
    </row>
    <row r="406" ht="15.75" customHeight="1">
      <c r="B406" s="1"/>
      <c r="C406" s="1"/>
      <c r="D406" s="1"/>
    </row>
    <row r="407" ht="15.75" customHeight="1">
      <c r="B407" s="1"/>
      <c r="C407" s="1"/>
      <c r="D407" s="1"/>
    </row>
    <row r="408" ht="15.75" customHeight="1">
      <c r="B408" s="1"/>
      <c r="C408" s="1"/>
      <c r="D408" s="1"/>
    </row>
    <row r="409" ht="15.75" customHeight="1">
      <c r="B409" s="1"/>
      <c r="C409" s="1"/>
      <c r="D409" s="1"/>
    </row>
    <row r="410" ht="15.75" customHeight="1">
      <c r="B410" s="1"/>
      <c r="C410" s="1"/>
      <c r="D410" s="1"/>
    </row>
    <row r="411" ht="15.75" customHeight="1">
      <c r="B411" s="1"/>
      <c r="C411" s="1"/>
      <c r="D411" s="1"/>
    </row>
    <row r="412" ht="15.75" customHeight="1">
      <c r="B412" s="1"/>
      <c r="C412" s="1"/>
      <c r="D412" s="1"/>
    </row>
    <row r="413" ht="15.75" customHeight="1">
      <c r="B413" s="1"/>
      <c r="C413" s="1"/>
      <c r="D413" s="1"/>
    </row>
    <row r="414" ht="15.75" customHeight="1">
      <c r="B414" s="1"/>
      <c r="C414" s="1"/>
      <c r="D414" s="1"/>
    </row>
    <row r="415" ht="15.75" customHeight="1">
      <c r="B415" s="1"/>
      <c r="C415" s="1"/>
      <c r="D415" s="1"/>
    </row>
    <row r="416" ht="15.75" customHeight="1">
      <c r="B416" s="1"/>
      <c r="C416" s="1"/>
      <c r="D416" s="1"/>
    </row>
    <row r="417" ht="15.75" customHeight="1">
      <c r="B417" s="1"/>
      <c r="C417" s="1"/>
      <c r="D417" s="1"/>
    </row>
    <row r="418" ht="15.75" customHeight="1">
      <c r="B418" s="1"/>
      <c r="C418" s="1"/>
      <c r="D418" s="1"/>
    </row>
    <row r="419" ht="15.75" customHeight="1">
      <c r="B419" s="1"/>
      <c r="C419" s="1"/>
      <c r="D419" s="1"/>
    </row>
    <row r="420" ht="15.75" customHeight="1">
      <c r="B420" s="1"/>
      <c r="C420" s="1"/>
      <c r="D420" s="1"/>
    </row>
    <row r="421" ht="15.75" customHeight="1">
      <c r="B421" s="1"/>
      <c r="C421" s="1"/>
      <c r="D421" s="1"/>
    </row>
    <row r="422" ht="15.75" customHeight="1">
      <c r="B422" s="1"/>
      <c r="C422" s="1"/>
      <c r="D422" s="1"/>
    </row>
    <row r="423" ht="15.75" customHeight="1">
      <c r="B423" s="1"/>
      <c r="C423" s="1"/>
      <c r="D423" s="1"/>
    </row>
    <row r="424" ht="15.75" customHeight="1">
      <c r="B424" s="1"/>
      <c r="C424" s="1"/>
      <c r="D424" s="1"/>
    </row>
    <row r="425" ht="15.75" customHeight="1">
      <c r="B425" s="1"/>
      <c r="C425" s="1"/>
      <c r="D425" s="1"/>
    </row>
    <row r="426" ht="15.75" customHeight="1">
      <c r="B426" s="1"/>
      <c r="C426" s="1"/>
      <c r="D426" s="1"/>
    </row>
    <row r="427" ht="15.75" customHeight="1">
      <c r="B427" s="1"/>
      <c r="C427" s="1"/>
      <c r="D427" s="1"/>
    </row>
    <row r="428" ht="15.75" customHeight="1">
      <c r="B428" s="1"/>
      <c r="C428" s="1"/>
      <c r="D428" s="1"/>
    </row>
    <row r="429" ht="15.75" customHeight="1">
      <c r="B429" s="1"/>
      <c r="C429" s="1"/>
      <c r="D429" s="1"/>
    </row>
    <row r="430" ht="15.75" customHeight="1">
      <c r="B430" s="1"/>
      <c r="C430" s="1"/>
      <c r="D430" s="1"/>
    </row>
    <row r="431" ht="15.75" customHeight="1">
      <c r="B431" s="1"/>
      <c r="C431" s="1"/>
      <c r="D431" s="1"/>
    </row>
    <row r="432" ht="15.75" customHeight="1">
      <c r="B432" s="1"/>
      <c r="C432" s="1"/>
      <c r="D432" s="1"/>
    </row>
    <row r="433" ht="15.75" customHeight="1">
      <c r="B433" s="1"/>
      <c r="C433" s="1"/>
      <c r="D433" s="1"/>
    </row>
    <row r="434" ht="15.75" customHeight="1">
      <c r="B434" s="1"/>
      <c r="C434" s="1"/>
      <c r="D434" s="1"/>
    </row>
    <row r="435" ht="15.75" customHeight="1">
      <c r="B435" s="1"/>
      <c r="C435" s="1"/>
      <c r="D435" s="1"/>
    </row>
    <row r="436" ht="15.75" customHeight="1">
      <c r="B436" s="1"/>
      <c r="C436" s="1"/>
      <c r="D436" s="1"/>
    </row>
    <row r="437" ht="15.75" customHeight="1">
      <c r="B437" s="1"/>
      <c r="C437" s="1"/>
      <c r="D437" s="1"/>
    </row>
    <row r="438" ht="15.75" customHeight="1">
      <c r="B438" s="1"/>
      <c r="C438" s="1"/>
      <c r="D438" s="1"/>
    </row>
    <row r="439" ht="15.75" customHeight="1">
      <c r="B439" s="1"/>
      <c r="C439" s="1"/>
      <c r="D439" s="1"/>
    </row>
    <row r="440" ht="15.75" customHeight="1">
      <c r="B440" s="1"/>
      <c r="C440" s="1"/>
      <c r="D440" s="1"/>
    </row>
    <row r="441" ht="15.75" customHeight="1">
      <c r="B441" s="1"/>
      <c r="C441" s="1"/>
      <c r="D441" s="1"/>
    </row>
    <row r="442" ht="15.75" customHeight="1">
      <c r="B442" s="1"/>
      <c r="C442" s="1"/>
      <c r="D442" s="1"/>
    </row>
    <row r="443" ht="15.75" customHeight="1">
      <c r="B443" s="1"/>
      <c r="C443" s="1"/>
      <c r="D443" s="1"/>
    </row>
    <row r="444" ht="15.75" customHeight="1">
      <c r="B444" s="1"/>
      <c r="C444" s="1"/>
      <c r="D444" s="1"/>
    </row>
    <row r="445" ht="15.75" customHeight="1">
      <c r="B445" s="1"/>
      <c r="C445" s="1"/>
      <c r="D445" s="1"/>
    </row>
    <row r="446" ht="15.75" customHeight="1">
      <c r="B446" s="1"/>
      <c r="C446" s="1"/>
      <c r="D446" s="1"/>
    </row>
    <row r="447" ht="15.75" customHeight="1">
      <c r="B447" s="1"/>
      <c r="C447" s="1"/>
      <c r="D447" s="1"/>
    </row>
    <row r="448" ht="15.75" customHeight="1">
      <c r="B448" s="1"/>
      <c r="C448" s="1"/>
      <c r="D448" s="1"/>
    </row>
    <row r="449" ht="15.75" customHeight="1">
      <c r="B449" s="1"/>
      <c r="C449" s="1"/>
      <c r="D449" s="1"/>
    </row>
    <row r="450" ht="15.75" customHeight="1">
      <c r="B450" s="1"/>
      <c r="C450" s="1"/>
      <c r="D450" s="1"/>
    </row>
    <row r="451" ht="15.75" customHeight="1">
      <c r="B451" s="1"/>
      <c r="C451" s="1"/>
      <c r="D451" s="1"/>
    </row>
    <row r="452" ht="15.75" customHeight="1">
      <c r="B452" s="1"/>
      <c r="C452" s="1"/>
      <c r="D452" s="1"/>
    </row>
    <row r="453" ht="15.75" customHeight="1">
      <c r="B453" s="1"/>
      <c r="C453" s="1"/>
      <c r="D453" s="1"/>
    </row>
    <row r="454" ht="15.75" customHeight="1">
      <c r="B454" s="1"/>
      <c r="C454" s="1"/>
      <c r="D454" s="1"/>
    </row>
    <row r="455" ht="15.75" customHeight="1">
      <c r="B455" s="1"/>
      <c r="C455" s="1"/>
      <c r="D455" s="1"/>
    </row>
    <row r="456" ht="15.75" customHeight="1">
      <c r="B456" s="1"/>
      <c r="C456" s="1"/>
      <c r="D456" s="1"/>
    </row>
    <row r="457" ht="15.75" customHeight="1">
      <c r="B457" s="1"/>
      <c r="C457" s="1"/>
      <c r="D457" s="1"/>
    </row>
    <row r="458" ht="15.75" customHeight="1">
      <c r="B458" s="1"/>
      <c r="C458" s="1"/>
      <c r="D458" s="1"/>
    </row>
    <row r="459" ht="15.75" customHeight="1">
      <c r="B459" s="1"/>
      <c r="C459" s="1"/>
      <c r="D459" s="1"/>
    </row>
    <row r="460" ht="15.75" customHeight="1">
      <c r="B460" s="1"/>
      <c r="C460" s="1"/>
      <c r="D460" s="1"/>
    </row>
    <row r="461" ht="15.75" customHeight="1">
      <c r="B461" s="1"/>
      <c r="C461" s="1"/>
      <c r="D461" s="1"/>
    </row>
    <row r="462" ht="15.75" customHeight="1">
      <c r="B462" s="1"/>
      <c r="C462" s="1"/>
      <c r="D462" s="1"/>
    </row>
    <row r="463" ht="15.75" customHeight="1">
      <c r="B463" s="1"/>
      <c r="C463" s="1"/>
      <c r="D463" s="1"/>
    </row>
    <row r="464" ht="15.75" customHeight="1">
      <c r="B464" s="1"/>
      <c r="C464" s="1"/>
      <c r="D464" s="1"/>
    </row>
    <row r="465" ht="15.75" customHeight="1">
      <c r="B465" s="1"/>
      <c r="C465" s="1"/>
      <c r="D465" s="1"/>
    </row>
    <row r="466" ht="15.75" customHeight="1">
      <c r="B466" s="1"/>
      <c r="C466" s="1"/>
      <c r="D466" s="1"/>
    </row>
    <row r="467" ht="15.75" customHeight="1">
      <c r="B467" s="1"/>
      <c r="C467" s="1"/>
      <c r="D467" s="1"/>
    </row>
    <row r="468" ht="15.75" customHeight="1">
      <c r="B468" s="1"/>
      <c r="C468" s="1"/>
      <c r="D468" s="1"/>
    </row>
    <row r="469" ht="15.75" customHeight="1">
      <c r="B469" s="1"/>
      <c r="C469" s="1"/>
      <c r="D469" s="1"/>
    </row>
    <row r="470" ht="15.75" customHeight="1">
      <c r="B470" s="1"/>
      <c r="C470" s="1"/>
      <c r="D470" s="1"/>
    </row>
    <row r="471" ht="15.75" customHeight="1">
      <c r="B471" s="1"/>
      <c r="C471" s="1"/>
      <c r="D471" s="1"/>
    </row>
    <row r="472" ht="15.75" customHeight="1">
      <c r="B472" s="1"/>
      <c r="C472" s="1"/>
      <c r="D472" s="1"/>
    </row>
    <row r="473" ht="15.75" customHeight="1">
      <c r="B473" s="1"/>
      <c r="C473" s="1"/>
      <c r="D473" s="1"/>
    </row>
    <row r="474" ht="15.75" customHeight="1">
      <c r="B474" s="1"/>
      <c r="C474" s="1"/>
      <c r="D474" s="1"/>
    </row>
    <row r="475" ht="15.75" customHeight="1">
      <c r="B475" s="1"/>
      <c r="C475" s="1"/>
      <c r="D475" s="1"/>
    </row>
    <row r="476" ht="15.75" customHeight="1">
      <c r="B476" s="1"/>
      <c r="C476" s="1"/>
      <c r="D476" s="1"/>
    </row>
    <row r="477" ht="15.75" customHeight="1">
      <c r="B477" s="1"/>
      <c r="C477" s="1"/>
      <c r="D477" s="1"/>
    </row>
    <row r="478" ht="15.75" customHeight="1">
      <c r="B478" s="1"/>
      <c r="C478" s="1"/>
      <c r="D478" s="1"/>
    </row>
    <row r="479" ht="15.75" customHeight="1">
      <c r="B479" s="1"/>
      <c r="C479" s="1"/>
      <c r="D479" s="1"/>
    </row>
    <row r="480" ht="15.75" customHeight="1">
      <c r="B480" s="1"/>
      <c r="C480" s="1"/>
      <c r="D480" s="1"/>
    </row>
    <row r="481" ht="15.75" customHeight="1">
      <c r="B481" s="1"/>
      <c r="C481" s="1"/>
      <c r="D481" s="1"/>
    </row>
    <row r="482" ht="15.75" customHeight="1">
      <c r="B482" s="1"/>
      <c r="C482" s="1"/>
      <c r="D482" s="1"/>
    </row>
    <row r="483" ht="15.75" customHeight="1">
      <c r="B483" s="1"/>
      <c r="C483" s="1"/>
      <c r="D483" s="1"/>
    </row>
    <row r="484" ht="15.75" customHeight="1">
      <c r="B484" s="1"/>
      <c r="C484" s="1"/>
      <c r="D484" s="1"/>
    </row>
    <row r="485" ht="15.75" customHeight="1">
      <c r="B485" s="1"/>
      <c r="C485" s="1"/>
      <c r="D485" s="1"/>
    </row>
    <row r="486" ht="15.75" customHeight="1">
      <c r="B486" s="1"/>
      <c r="C486" s="1"/>
      <c r="D486" s="1"/>
    </row>
    <row r="487" ht="15.75" customHeight="1">
      <c r="B487" s="1"/>
      <c r="C487" s="1"/>
      <c r="D487" s="1"/>
    </row>
    <row r="488" ht="15.75" customHeight="1">
      <c r="B488" s="1"/>
      <c r="C488" s="1"/>
      <c r="D488" s="1"/>
    </row>
    <row r="489" ht="15.75" customHeight="1">
      <c r="B489" s="1"/>
      <c r="C489" s="1"/>
      <c r="D489" s="1"/>
    </row>
    <row r="490" ht="15.75" customHeight="1">
      <c r="B490" s="1"/>
      <c r="C490" s="1"/>
      <c r="D490" s="1"/>
    </row>
    <row r="491" ht="15.75" customHeight="1">
      <c r="B491" s="1"/>
      <c r="C491" s="1"/>
      <c r="D491" s="1"/>
    </row>
    <row r="492" ht="15.75" customHeight="1">
      <c r="B492" s="1"/>
      <c r="C492" s="1"/>
      <c r="D492" s="1"/>
    </row>
    <row r="493" ht="15.75" customHeight="1">
      <c r="B493" s="1"/>
      <c r="C493" s="1"/>
      <c r="D493" s="1"/>
    </row>
    <row r="494" ht="15.75" customHeight="1">
      <c r="B494" s="1"/>
      <c r="C494" s="1"/>
      <c r="D494" s="1"/>
    </row>
    <row r="495" ht="15.75" customHeight="1">
      <c r="B495" s="1"/>
      <c r="C495" s="1"/>
      <c r="D495" s="1"/>
    </row>
    <row r="496" ht="15.75" customHeight="1">
      <c r="B496" s="1"/>
      <c r="C496" s="1"/>
      <c r="D496" s="1"/>
    </row>
    <row r="497" ht="15.75" customHeight="1">
      <c r="B497" s="1"/>
      <c r="C497" s="1"/>
      <c r="D497" s="1"/>
    </row>
    <row r="498" ht="15.75" customHeight="1">
      <c r="B498" s="1"/>
      <c r="C498" s="1"/>
      <c r="D498" s="1"/>
    </row>
    <row r="499" ht="15.75" customHeight="1">
      <c r="B499" s="1"/>
      <c r="C499" s="1"/>
      <c r="D499" s="1"/>
    </row>
    <row r="500" ht="15.75" customHeight="1">
      <c r="B500" s="1"/>
      <c r="C500" s="1"/>
      <c r="D500" s="1"/>
    </row>
    <row r="501" ht="15.75" customHeight="1">
      <c r="B501" s="1"/>
      <c r="C501" s="1"/>
      <c r="D501" s="1"/>
    </row>
    <row r="502" ht="15.75" customHeight="1">
      <c r="B502" s="1"/>
      <c r="C502" s="1"/>
      <c r="D502" s="1"/>
    </row>
    <row r="503" ht="15.75" customHeight="1">
      <c r="B503" s="1"/>
      <c r="C503" s="1"/>
      <c r="D503" s="1"/>
    </row>
    <row r="504" ht="15.75" customHeight="1">
      <c r="B504" s="1"/>
      <c r="C504" s="1"/>
      <c r="D504" s="1"/>
    </row>
    <row r="505" ht="15.75" customHeight="1">
      <c r="B505" s="1"/>
      <c r="C505" s="1"/>
      <c r="D505" s="1"/>
    </row>
    <row r="506" ht="15.75" customHeight="1">
      <c r="B506" s="1"/>
      <c r="C506" s="1"/>
      <c r="D506" s="1"/>
    </row>
    <row r="507" ht="15.75" customHeight="1">
      <c r="B507" s="1"/>
      <c r="C507" s="1"/>
      <c r="D507" s="1"/>
    </row>
    <row r="508" ht="15.75" customHeight="1">
      <c r="B508" s="1"/>
      <c r="C508" s="1"/>
      <c r="D508" s="1"/>
    </row>
    <row r="509" ht="15.75" customHeight="1">
      <c r="B509" s="1"/>
      <c r="C509" s="1"/>
      <c r="D509" s="1"/>
    </row>
    <row r="510" ht="15.75" customHeight="1">
      <c r="B510" s="1"/>
      <c r="C510" s="1"/>
      <c r="D510" s="1"/>
    </row>
    <row r="511" ht="15.75" customHeight="1">
      <c r="B511" s="1"/>
      <c r="C511" s="1"/>
      <c r="D511" s="1"/>
    </row>
    <row r="512" ht="15.75" customHeight="1">
      <c r="B512" s="1"/>
      <c r="C512" s="1"/>
      <c r="D512" s="1"/>
    </row>
    <row r="513" ht="15.75" customHeight="1">
      <c r="B513" s="1"/>
      <c r="C513" s="1"/>
      <c r="D513" s="1"/>
    </row>
    <row r="514" ht="15.75" customHeight="1">
      <c r="B514" s="1"/>
      <c r="C514" s="1"/>
      <c r="D514" s="1"/>
    </row>
    <row r="515" ht="15.75" customHeight="1">
      <c r="B515" s="1"/>
      <c r="C515" s="1"/>
      <c r="D515" s="1"/>
    </row>
    <row r="516" ht="15.75" customHeight="1">
      <c r="B516" s="1"/>
      <c r="C516" s="1"/>
      <c r="D516" s="1"/>
    </row>
    <row r="517" ht="15.75" customHeight="1">
      <c r="B517" s="1"/>
      <c r="C517" s="1"/>
      <c r="D517" s="1"/>
    </row>
    <row r="518" ht="15.75" customHeight="1">
      <c r="B518" s="1"/>
      <c r="C518" s="1"/>
      <c r="D518" s="1"/>
    </row>
    <row r="519" ht="15.75" customHeight="1">
      <c r="B519" s="1"/>
      <c r="C519" s="1"/>
      <c r="D519" s="1"/>
    </row>
    <row r="520" ht="15.75" customHeight="1">
      <c r="B520" s="1"/>
      <c r="C520" s="1"/>
      <c r="D520" s="1"/>
    </row>
    <row r="521" ht="15.75" customHeight="1">
      <c r="B521" s="1"/>
      <c r="C521" s="1"/>
      <c r="D521" s="1"/>
    </row>
    <row r="522" ht="15.75" customHeight="1">
      <c r="B522" s="1"/>
      <c r="C522" s="1"/>
      <c r="D522" s="1"/>
    </row>
    <row r="523" ht="15.75" customHeight="1">
      <c r="B523" s="1"/>
      <c r="C523" s="1"/>
      <c r="D523" s="1"/>
    </row>
    <row r="524" ht="15.75" customHeight="1">
      <c r="B524" s="1"/>
      <c r="C524" s="1"/>
      <c r="D524" s="1"/>
    </row>
    <row r="525" ht="15.75" customHeight="1">
      <c r="B525" s="1"/>
      <c r="C525" s="1"/>
      <c r="D525" s="1"/>
    </row>
    <row r="526" ht="15.75" customHeight="1">
      <c r="B526" s="1"/>
      <c r="C526" s="1"/>
      <c r="D526" s="1"/>
    </row>
    <row r="527" ht="15.75" customHeight="1">
      <c r="B527" s="1"/>
      <c r="C527" s="1"/>
      <c r="D527" s="1"/>
    </row>
    <row r="528" ht="15.75" customHeight="1">
      <c r="B528" s="1"/>
      <c r="C528" s="1"/>
      <c r="D528" s="1"/>
    </row>
    <row r="529" ht="15.75" customHeight="1">
      <c r="B529" s="1"/>
      <c r="C529" s="1"/>
      <c r="D529" s="1"/>
    </row>
    <row r="530" ht="15.75" customHeight="1">
      <c r="B530" s="1"/>
      <c r="C530" s="1"/>
      <c r="D530" s="1"/>
    </row>
    <row r="531" ht="15.75" customHeight="1">
      <c r="B531" s="1"/>
      <c r="C531" s="1"/>
      <c r="D531" s="1"/>
    </row>
    <row r="532" ht="15.75" customHeight="1">
      <c r="B532" s="1"/>
      <c r="C532" s="1"/>
      <c r="D532" s="1"/>
    </row>
    <row r="533" ht="15.75" customHeight="1">
      <c r="B533" s="1"/>
      <c r="C533" s="1"/>
      <c r="D533" s="1"/>
    </row>
    <row r="534" ht="15.75" customHeight="1">
      <c r="B534" s="1"/>
      <c r="C534" s="1"/>
      <c r="D534" s="1"/>
    </row>
    <row r="535" ht="15.75" customHeight="1">
      <c r="B535" s="1"/>
      <c r="C535" s="1"/>
      <c r="D535" s="1"/>
    </row>
    <row r="536" ht="15.75" customHeight="1">
      <c r="B536" s="1"/>
      <c r="C536" s="1"/>
      <c r="D536" s="1"/>
    </row>
    <row r="537" ht="15.75" customHeight="1">
      <c r="B537" s="1"/>
      <c r="C537" s="1"/>
      <c r="D537" s="1"/>
    </row>
    <row r="538" ht="15.75" customHeight="1">
      <c r="B538" s="1"/>
      <c r="C538" s="1"/>
      <c r="D538" s="1"/>
    </row>
    <row r="539" ht="15.75" customHeight="1">
      <c r="B539" s="1"/>
      <c r="C539" s="1"/>
      <c r="D539" s="1"/>
    </row>
    <row r="540" ht="15.75" customHeight="1">
      <c r="B540" s="1"/>
      <c r="C540" s="1"/>
      <c r="D540" s="1"/>
    </row>
    <row r="541" ht="15.75" customHeight="1">
      <c r="B541" s="1"/>
      <c r="C541" s="1"/>
      <c r="D541" s="1"/>
    </row>
    <row r="542" ht="15.75" customHeight="1">
      <c r="B542" s="1"/>
      <c r="C542" s="1"/>
      <c r="D542" s="1"/>
    </row>
    <row r="543" ht="15.75" customHeight="1">
      <c r="B543" s="1"/>
      <c r="C543" s="1"/>
      <c r="D543" s="1"/>
    </row>
    <row r="544" ht="15.75" customHeight="1">
      <c r="B544" s="1"/>
      <c r="C544" s="1"/>
      <c r="D544" s="1"/>
    </row>
    <row r="545" ht="15.75" customHeight="1">
      <c r="B545" s="1"/>
      <c r="C545" s="1"/>
      <c r="D545" s="1"/>
    </row>
    <row r="546" ht="15.75" customHeight="1">
      <c r="B546" s="1"/>
      <c r="C546" s="1"/>
      <c r="D546" s="1"/>
    </row>
    <row r="547" ht="15.75" customHeight="1">
      <c r="B547" s="1"/>
      <c r="C547" s="1"/>
      <c r="D547" s="1"/>
    </row>
    <row r="548" ht="15.75" customHeight="1">
      <c r="B548" s="1"/>
      <c r="C548" s="1"/>
      <c r="D548" s="1"/>
    </row>
    <row r="549" ht="15.75" customHeight="1">
      <c r="B549" s="1"/>
      <c r="C549" s="1"/>
      <c r="D549" s="1"/>
    </row>
    <row r="550" ht="15.75" customHeight="1">
      <c r="B550" s="1"/>
      <c r="C550" s="1"/>
      <c r="D550" s="1"/>
    </row>
    <row r="551" ht="15.75" customHeight="1">
      <c r="B551" s="1"/>
      <c r="C551" s="1"/>
      <c r="D551" s="1"/>
    </row>
    <row r="552" ht="15.75" customHeight="1">
      <c r="B552" s="1"/>
      <c r="C552" s="1"/>
      <c r="D552" s="1"/>
    </row>
    <row r="553" ht="15.75" customHeight="1">
      <c r="B553" s="1"/>
      <c r="C553" s="1"/>
      <c r="D553" s="1"/>
    </row>
    <row r="554" ht="15.75" customHeight="1">
      <c r="B554" s="1"/>
      <c r="C554" s="1"/>
      <c r="D554" s="1"/>
    </row>
    <row r="555" ht="15.75" customHeight="1">
      <c r="B555" s="1"/>
      <c r="C555" s="1"/>
      <c r="D555" s="1"/>
    </row>
    <row r="556" ht="15.75" customHeight="1">
      <c r="B556" s="1"/>
      <c r="C556" s="1"/>
      <c r="D556" s="1"/>
    </row>
    <row r="557" ht="15.75" customHeight="1">
      <c r="B557" s="1"/>
      <c r="C557" s="1"/>
      <c r="D557" s="1"/>
    </row>
    <row r="558" ht="15.75" customHeight="1">
      <c r="B558" s="1"/>
      <c r="C558" s="1"/>
      <c r="D558" s="1"/>
    </row>
    <row r="559" ht="15.75" customHeight="1">
      <c r="B559" s="1"/>
      <c r="C559" s="1"/>
      <c r="D559" s="1"/>
    </row>
    <row r="560" ht="15.75" customHeight="1">
      <c r="B560" s="1"/>
      <c r="C560" s="1"/>
      <c r="D560" s="1"/>
    </row>
    <row r="561" ht="15.75" customHeight="1">
      <c r="B561" s="1"/>
      <c r="C561" s="1"/>
      <c r="D561" s="1"/>
    </row>
    <row r="562" ht="15.75" customHeight="1">
      <c r="B562" s="1"/>
      <c r="C562" s="1"/>
      <c r="D562" s="1"/>
    </row>
    <row r="563" ht="15.75" customHeight="1">
      <c r="B563" s="1"/>
      <c r="C563" s="1"/>
      <c r="D563" s="1"/>
    </row>
    <row r="564" ht="15.75" customHeight="1">
      <c r="B564" s="1"/>
      <c r="C564" s="1"/>
      <c r="D564" s="1"/>
    </row>
    <row r="565" ht="15.75" customHeight="1">
      <c r="B565" s="1"/>
      <c r="C565" s="1"/>
      <c r="D565" s="1"/>
    </row>
    <row r="566" ht="15.75" customHeight="1">
      <c r="B566" s="1"/>
      <c r="C566" s="1"/>
      <c r="D566" s="1"/>
    </row>
    <row r="567" ht="15.75" customHeight="1">
      <c r="B567" s="1"/>
      <c r="C567" s="1"/>
      <c r="D567" s="1"/>
    </row>
    <row r="568" ht="15.75" customHeight="1">
      <c r="B568" s="1"/>
      <c r="C568" s="1"/>
      <c r="D568" s="1"/>
    </row>
    <row r="569" ht="15.75" customHeight="1">
      <c r="B569" s="1"/>
      <c r="C569" s="1"/>
      <c r="D569" s="1"/>
    </row>
    <row r="570" ht="15.75" customHeight="1">
      <c r="B570" s="1"/>
      <c r="C570" s="1"/>
      <c r="D570" s="1"/>
    </row>
    <row r="571" ht="15.75" customHeight="1">
      <c r="B571" s="1"/>
      <c r="C571" s="1"/>
      <c r="D571" s="1"/>
    </row>
    <row r="572" ht="15.75" customHeight="1">
      <c r="B572" s="1"/>
      <c r="C572" s="1"/>
      <c r="D572" s="1"/>
    </row>
    <row r="573" ht="15.75" customHeight="1">
      <c r="B573" s="1"/>
      <c r="C573" s="1"/>
      <c r="D573" s="1"/>
    </row>
    <row r="574" ht="15.75" customHeight="1">
      <c r="B574" s="1"/>
      <c r="C574" s="1"/>
      <c r="D574" s="1"/>
    </row>
    <row r="575" ht="15.75" customHeight="1">
      <c r="B575" s="1"/>
      <c r="C575" s="1"/>
      <c r="D575" s="1"/>
    </row>
    <row r="576" ht="15.75" customHeight="1">
      <c r="B576" s="1"/>
      <c r="C576" s="1"/>
      <c r="D576" s="1"/>
    </row>
    <row r="577" ht="15.75" customHeight="1">
      <c r="B577" s="1"/>
      <c r="C577" s="1"/>
      <c r="D577" s="1"/>
    </row>
    <row r="578" ht="15.75" customHeight="1">
      <c r="B578" s="1"/>
      <c r="C578" s="1"/>
      <c r="D578" s="1"/>
    </row>
    <row r="579" ht="15.75" customHeight="1">
      <c r="B579" s="1"/>
      <c r="C579" s="1"/>
      <c r="D579" s="1"/>
    </row>
    <row r="580" ht="15.75" customHeight="1">
      <c r="B580" s="1"/>
      <c r="C580" s="1"/>
      <c r="D580" s="1"/>
    </row>
    <row r="581" ht="15.75" customHeight="1">
      <c r="B581" s="1"/>
      <c r="C581" s="1"/>
      <c r="D581" s="1"/>
    </row>
    <row r="582" ht="15.75" customHeight="1">
      <c r="B582" s="1"/>
      <c r="C582" s="1"/>
      <c r="D582" s="1"/>
    </row>
    <row r="583" ht="15.75" customHeight="1">
      <c r="B583" s="1"/>
      <c r="C583" s="1"/>
      <c r="D583" s="1"/>
    </row>
    <row r="584" ht="15.75" customHeight="1">
      <c r="B584" s="1"/>
      <c r="C584" s="1"/>
      <c r="D584" s="1"/>
    </row>
    <row r="585" ht="15.75" customHeight="1">
      <c r="B585" s="1"/>
      <c r="C585" s="1"/>
      <c r="D585" s="1"/>
    </row>
    <row r="586" ht="15.75" customHeight="1">
      <c r="B586" s="1"/>
      <c r="C586" s="1"/>
      <c r="D586" s="1"/>
    </row>
    <row r="587" ht="15.75" customHeight="1">
      <c r="B587" s="1"/>
      <c r="C587" s="1"/>
      <c r="D587" s="1"/>
    </row>
    <row r="588" ht="15.75" customHeight="1">
      <c r="B588" s="1"/>
      <c r="C588" s="1"/>
      <c r="D588" s="1"/>
    </row>
    <row r="589" ht="15.75" customHeight="1">
      <c r="B589" s="1"/>
      <c r="C589" s="1"/>
      <c r="D589" s="1"/>
    </row>
    <row r="590" ht="15.75" customHeight="1">
      <c r="B590" s="1"/>
      <c r="C590" s="1"/>
      <c r="D590" s="1"/>
    </row>
    <row r="591" ht="15.75" customHeight="1">
      <c r="B591" s="1"/>
      <c r="C591" s="1"/>
      <c r="D591" s="1"/>
    </row>
    <row r="592" ht="15.75" customHeight="1">
      <c r="B592" s="1"/>
      <c r="C592" s="1"/>
      <c r="D592" s="1"/>
    </row>
    <row r="593" ht="15.75" customHeight="1">
      <c r="B593" s="1"/>
      <c r="C593" s="1"/>
      <c r="D593" s="1"/>
    </row>
    <row r="594" ht="15.75" customHeight="1">
      <c r="B594" s="1"/>
      <c r="C594" s="1"/>
      <c r="D594" s="1"/>
    </row>
    <row r="595" ht="15.75" customHeight="1">
      <c r="B595" s="1"/>
      <c r="C595" s="1"/>
      <c r="D595" s="1"/>
    </row>
    <row r="596" ht="15.75" customHeight="1">
      <c r="B596" s="1"/>
      <c r="C596" s="1"/>
      <c r="D596" s="1"/>
    </row>
    <row r="597" ht="15.75" customHeight="1">
      <c r="B597" s="1"/>
      <c r="C597" s="1"/>
      <c r="D597" s="1"/>
    </row>
    <row r="598" ht="15.75" customHeight="1">
      <c r="B598" s="1"/>
      <c r="C598" s="1"/>
      <c r="D598" s="1"/>
    </row>
    <row r="599" ht="15.75" customHeight="1">
      <c r="B599" s="1"/>
      <c r="C599" s="1"/>
      <c r="D599" s="1"/>
    </row>
    <row r="600" ht="15.75" customHeight="1">
      <c r="B600" s="1"/>
      <c r="C600" s="1"/>
      <c r="D600" s="1"/>
    </row>
    <row r="601" ht="15.75" customHeight="1">
      <c r="B601" s="1"/>
      <c r="C601" s="1"/>
      <c r="D601" s="1"/>
    </row>
    <row r="602" ht="15.75" customHeight="1">
      <c r="B602" s="1"/>
      <c r="C602" s="1"/>
      <c r="D602" s="1"/>
    </row>
    <row r="603" ht="15.75" customHeight="1">
      <c r="B603" s="1"/>
      <c r="C603" s="1"/>
      <c r="D603" s="1"/>
    </row>
    <row r="604" ht="15.75" customHeight="1">
      <c r="B604" s="1"/>
      <c r="C604" s="1"/>
      <c r="D604" s="1"/>
    </row>
    <row r="605" ht="15.75" customHeight="1">
      <c r="B605" s="1"/>
      <c r="C605" s="1"/>
      <c r="D605" s="1"/>
    </row>
    <row r="606" ht="15.75" customHeight="1">
      <c r="B606" s="1"/>
      <c r="C606" s="1"/>
      <c r="D606" s="1"/>
    </row>
    <row r="607" ht="15.75" customHeight="1">
      <c r="B607" s="1"/>
      <c r="C607" s="1"/>
      <c r="D607" s="1"/>
    </row>
    <row r="608" ht="15.75" customHeight="1">
      <c r="B608" s="1"/>
      <c r="C608" s="1"/>
      <c r="D608" s="1"/>
    </row>
    <row r="609" ht="15.75" customHeight="1">
      <c r="B609" s="1"/>
      <c r="C609" s="1"/>
      <c r="D609" s="1"/>
    </row>
    <row r="610" ht="15.75" customHeight="1">
      <c r="B610" s="1"/>
      <c r="C610" s="1"/>
      <c r="D610" s="1"/>
    </row>
    <row r="611" ht="15.75" customHeight="1">
      <c r="B611" s="1"/>
      <c r="C611" s="1"/>
      <c r="D611" s="1"/>
    </row>
    <row r="612" ht="15.75" customHeight="1">
      <c r="B612" s="1"/>
      <c r="C612" s="1"/>
      <c r="D612" s="1"/>
    </row>
    <row r="613" ht="15.75" customHeight="1">
      <c r="B613" s="1"/>
      <c r="C613" s="1"/>
      <c r="D613" s="1"/>
    </row>
    <row r="614" ht="15.75" customHeight="1">
      <c r="B614" s="1"/>
      <c r="C614" s="1"/>
      <c r="D614" s="1"/>
    </row>
    <row r="615" ht="15.75" customHeight="1">
      <c r="B615" s="1"/>
      <c r="C615" s="1"/>
      <c r="D615" s="1"/>
    </row>
    <row r="616" ht="15.75" customHeight="1">
      <c r="B616" s="1"/>
      <c r="C616" s="1"/>
      <c r="D616" s="1"/>
    </row>
    <row r="617" ht="15.75" customHeight="1">
      <c r="B617" s="1"/>
      <c r="C617" s="1"/>
      <c r="D617" s="1"/>
    </row>
    <row r="618" ht="15.75" customHeight="1">
      <c r="B618" s="1"/>
      <c r="C618" s="1"/>
      <c r="D618" s="1"/>
    </row>
    <row r="619" ht="15.75" customHeight="1">
      <c r="B619" s="1"/>
      <c r="C619" s="1"/>
      <c r="D619" s="1"/>
    </row>
    <row r="620" ht="15.75" customHeight="1">
      <c r="B620" s="1"/>
      <c r="C620" s="1"/>
      <c r="D620" s="1"/>
    </row>
    <row r="621" ht="15.75" customHeight="1">
      <c r="B621" s="1"/>
      <c r="C621" s="1"/>
      <c r="D621" s="1"/>
    </row>
    <row r="622" ht="15.75" customHeight="1">
      <c r="B622" s="1"/>
      <c r="C622" s="1"/>
      <c r="D622" s="1"/>
    </row>
    <row r="623" ht="15.75" customHeight="1">
      <c r="B623" s="1"/>
      <c r="C623" s="1"/>
      <c r="D623" s="1"/>
    </row>
    <row r="624" ht="15.75" customHeight="1">
      <c r="B624" s="1"/>
      <c r="C624" s="1"/>
      <c r="D624" s="1"/>
    </row>
    <row r="625" ht="15.75" customHeight="1">
      <c r="B625" s="1"/>
      <c r="C625" s="1"/>
      <c r="D625" s="1"/>
    </row>
    <row r="626" ht="15.75" customHeight="1">
      <c r="B626" s="1"/>
      <c r="C626" s="1"/>
      <c r="D626" s="1"/>
    </row>
    <row r="627" ht="15.75" customHeight="1">
      <c r="B627" s="1"/>
      <c r="C627" s="1"/>
      <c r="D627" s="1"/>
    </row>
    <row r="628" ht="15.75" customHeight="1">
      <c r="B628" s="1"/>
      <c r="C628" s="1"/>
      <c r="D628" s="1"/>
    </row>
    <row r="629" ht="15.75" customHeight="1">
      <c r="B629" s="1"/>
      <c r="C629" s="1"/>
      <c r="D629" s="1"/>
    </row>
    <row r="630" ht="15.75" customHeight="1">
      <c r="B630" s="1"/>
      <c r="C630" s="1"/>
      <c r="D630" s="1"/>
    </row>
    <row r="631" ht="15.75" customHeight="1">
      <c r="B631" s="1"/>
      <c r="C631" s="1"/>
      <c r="D631" s="1"/>
    </row>
    <row r="632" ht="15.75" customHeight="1">
      <c r="B632" s="1"/>
      <c r="C632" s="1"/>
      <c r="D632" s="1"/>
    </row>
    <row r="633" ht="15.75" customHeight="1">
      <c r="B633" s="1"/>
      <c r="C633" s="1"/>
      <c r="D633" s="1"/>
    </row>
    <row r="634" ht="15.75" customHeight="1">
      <c r="B634" s="1"/>
      <c r="C634" s="1"/>
      <c r="D634" s="1"/>
    </row>
    <row r="635" ht="15.75" customHeight="1">
      <c r="B635" s="1"/>
      <c r="C635" s="1"/>
      <c r="D635" s="1"/>
    </row>
    <row r="636" ht="15.75" customHeight="1">
      <c r="B636" s="1"/>
      <c r="C636" s="1"/>
      <c r="D636" s="1"/>
    </row>
    <row r="637" ht="15.75" customHeight="1">
      <c r="B637" s="1"/>
      <c r="C637" s="1"/>
      <c r="D637" s="1"/>
    </row>
    <row r="638" ht="15.75" customHeight="1">
      <c r="B638" s="1"/>
      <c r="C638" s="1"/>
      <c r="D638" s="1"/>
    </row>
    <row r="639" ht="15.75" customHeight="1">
      <c r="B639" s="1"/>
      <c r="C639" s="1"/>
      <c r="D639" s="1"/>
    </row>
    <row r="640" ht="15.75" customHeight="1">
      <c r="B640" s="1"/>
      <c r="C640" s="1"/>
      <c r="D640" s="1"/>
    </row>
    <row r="641" ht="15.75" customHeight="1">
      <c r="B641" s="1"/>
      <c r="C641" s="1"/>
      <c r="D641" s="1"/>
    </row>
    <row r="642" ht="15.75" customHeight="1">
      <c r="B642" s="1"/>
      <c r="C642" s="1"/>
      <c r="D642" s="1"/>
    </row>
    <row r="643" ht="15.75" customHeight="1">
      <c r="B643" s="1"/>
      <c r="C643" s="1"/>
      <c r="D643" s="1"/>
    </row>
    <row r="644" ht="15.75" customHeight="1">
      <c r="B644" s="1"/>
      <c r="C644" s="1"/>
      <c r="D644" s="1"/>
    </row>
    <row r="645" ht="15.75" customHeight="1">
      <c r="B645" s="1"/>
      <c r="C645" s="1"/>
      <c r="D645" s="1"/>
    </row>
    <row r="646" ht="15.75" customHeight="1">
      <c r="B646" s="1"/>
      <c r="C646" s="1"/>
      <c r="D646" s="1"/>
    </row>
    <row r="647" ht="15.75" customHeight="1">
      <c r="B647" s="1"/>
      <c r="C647" s="1"/>
      <c r="D647" s="1"/>
    </row>
    <row r="648" ht="15.75" customHeight="1">
      <c r="B648" s="1"/>
      <c r="C648" s="1"/>
      <c r="D648" s="1"/>
    </row>
    <row r="649" ht="15.75" customHeight="1">
      <c r="B649" s="1"/>
      <c r="C649" s="1"/>
      <c r="D649" s="1"/>
    </row>
    <row r="650" ht="15.75" customHeight="1">
      <c r="B650" s="1"/>
      <c r="C650" s="1"/>
      <c r="D650" s="1"/>
    </row>
    <row r="651" ht="15.75" customHeight="1">
      <c r="B651" s="1"/>
      <c r="C651" s="1"/>
      <c r="D651" s="1"/>
    </row>
    <row r="652" ht="15.75" customHeight="1">
      <c r="B652" s="1"/>
      <c r="C652" s="1"/>
      <c r="D652" s="1"/>
    </row>
    <row r="653" ht="15.75" customHeight="1">
      <c r="B653" s="1"/>
      <c r="C653" s="1"/>
      <c r="D653" s="1"/>
    </row>
    <row r="654" ht="15.75" customHeight="1">
      <c r="B654" s="1"/>
      <c r="C654" s="1"/>
      <c r="D654" s="1"/>
    </row>
    <row r="655" ht="15.75" customHeight="1">
      <c r="B655" s="1"/>
      <c r="C655" s="1"/>
      <c r="D655" s="1"/>
    </row>
    <row r="656" ht="15.75" customHeight="1">
      <c r="B656" s="1"/>
      <c r="C656" s="1"/>
      <c r="D656" s="1"/>
    </row>
    <row r="657" ht="15.75" customHeight="1">
      <c r="B657" s="1"/>
      <c r="C657" s="1"/>
      <c r="D657" s="1"/>
    </row>
    <row r="658" ht="15.75" customHeight="1">
      <c r="B658" s="1"/>
      <c r="C658" s="1"/>
      <c r="D658" s="1"/>
    </row>
    <row r="659" ht="15.75" customHeight="1">
      <c r="B659" s="1"/>
      <c r="C659" s="1"/>
      <c r="D659" s="1"/>
    </row>
    <row r="660" ht="15.75" customHeight="1">
      <c r="B660" s="1"/>
      <c r="C660" s="1"/>
      <c r="D660" s="1"/>
    </row>
    <row r="661" ht="15.75" customHeight="1">
      <c r="B661" s="1"/>
      <c r="C661" s="1"/>
      <c r="D661" s="1"/>
    </row>
    <row r="662" ht="15.75" customHeight="1">
      <c r="B662" s="1"/>
      <c r="C662" s="1"/>
      <c r="D662" s="1"/>
    </row>
    <row r="663" ht="15.75" customHeight="1">
      <c r="B663" s="1"/>
      <c r="C663" s="1"/>
      <c r="D663" s="1"/>
    </row>
    <row r="664" ht="15.75" customHeight="1">
      <c r="B664" s="1"/>
      <c r="C664" s="1"/>
      <c r="D664" s="1"/>
    </row>
    <row r="665" ht="15.75" customHeight="1">
      <c r="B665" s="1"/>
      <c r="C665" s="1"/>
      <c r="D665" s="1"/>
    </row>
    <row r="666" ht="15.75" customHeight="1">
      <c r="B666" s="1"/>
      <c r="C666" s="1"/>
      <c r="D666" s="1"/>
    </row>
    <row r="667" ht="15.75" customHeight="1">
      <c r="B667" s="1"/>
      <c r="C667" s="1"/>
      <c r="D667" s="1"/>
    </row>
    <row r="668" ht="15.75" customHeight="1">
      <c r="B668" s="1"/>
      <c r="C668" s="1"/>
      <c r="D668" s="1"/>
    </row>
    <row r="669" ht="15.75" customHeight="1">
      <c r="B669" s="1"/>
      <c r="C669" s="1"/>
      <c r="D669" s="1"/>
    </row>
    <row r="670" ht="15.75" customHeight="1">
      <c r="B670" s="1"/>
      <c r="C670" s="1"/>
      <c r="D670" s="1"/>
    </row>
    <row r="671" ht="15.75" customHeight="1">
      <c r="B671" s="1"/>
      <c r="C671" s="1"/>
      <c r="D671" s="1"/>
    </row>
    <row r="672" ht="15.75" customHeight="1">
      <c r="B672" s="1"/>
      <c r="C672" s="1"/>
      <c r="D672" s="1"/>
    </row>
    <row r="673" ht="15.75" customHeight="1">
      <c r="B673" s="1"/>
      <c r="C673" s="1"/>
      <c r="D673" s="1"/>
    </row>
    <row r="674" ht="15.75" customHeight="1">
      <c r="B674" s="1"/>
      <c r="C674" s="1"/>
      <c r="D674" s="1"/>
    </row>
    <row r="675" ht="15.75" customHeight="1">
      <c r="B675" s="1"/>
      <c r="C675" s="1"/>
      <c r="D675" s="1"/>
    </row>
    <row r="676" ht="15.75" customHeight="1">
      <c r="B676" s="1"/>
      <c r="C676" s="1"/>
      <c r="D676" s="1"/>
    </row>
    <row r="677" ht="15.75" customHeight="1">
      <c r="B677" s="1"/>
      <c r="C677" s="1"/>
      <c r="D677" s="1"/>
    </row>
    <row r="678" ht="15.75" customHeight="1">
      <c r="B678" s="1"/>
      <c r="C678" s="1"/>
      <c r="D678" s="1"/>
    </row>
    <row r="679" ht="15.75" customHeight="1">
      <c r="B679" s="1"/>
      <c r="C679" s="1"/>
      <c r="D679" s="1"/>
    </row>
    <row r="680" ht="15.75" customHeight="1">
      <c r="B680" s="1"/>
      <c r="C680" s="1"/>
      <c r="D680" s="1"/>
    </row>
    <row r="681" ht="15.75" customHeight="1">
      <c r="B681" s="1"/>
      <c r="C681" s="1"/>
      <c r="D681" s="1"/>
    </row>
    <row r="682" ht="15.75" customHeight="1">
      <c r="B682" s="1"/>
      <c r="C682" s="1"/>
      <c r="D682" s="1"/>
    </row>
    <row r="683" ht="15.75" customHeight="1">
      <c r="B683" s="1"/>
      <c r="C683" s="1"/>
      <c r="D683" s="1"/>
    </row>
    <row r="684" ht="15.75" customHeight="1">
      <c r="B684" s="1"/>
      <c r="C684" s="1"/>
      <c r="D684" s="1"/>
    </row>
    <row r="685" ht="15.75" customHeight="1">
      <c r="B685" s="1"/>
      <c r="C685" s="1"/>
      <c r="D685" s="1"/>
    </row>
    <row r="686" ht="15.75" customHeight="1">
      <c r="B686" s="1"/>
      <c r="C686" s="1"/>
      <c r="D686" s="1"/>
    </row>
    <row r="687" ht="15.75" customHeight="1">
      <c r="B687" s="1"/>
      <c r="C687" s="1"/>
      <c r="D687" s="1"/>
    </row>
    <row r="688" ht="15.75" customHeight="1">
      <c r="B688" s="1"/>
      <c r="C688" s="1"/>
      <c r="D688" s="1"/>
    </row>
    <row r="689" ht="15.75" customHeight="1">
      <c r="B689" s="1"/>
      <c r="C689" s="1"/>
      <c r="D689" s="1"/>
    </row>
    <row r="690" ht="15.75" customHeight="1">
      <c r="B690" s="1"/>
      <c r="C690" s="1"/>
      <c r="D690" s="1"/>
    </row>
    <row r="691" ht="15.75" customHeight="1">
      <c r="B691" s="1"/>
      <c r="C691" s="1"/>
      <c r="D691" s="1"/>
    </row>
    <row r="692" ht="15.75" customHeight="1">
      <c r="B692" s="1"/>
      <c r="C692" s="1"/>
      <c r="D692" s="1"/>
    </row>
    <row r="693" ht="15.75" customHeight="1">
      <c r="B693" s="1"/>
      <c r="C693" s="1"/>
      <c r="D693" s="1"/>
    </row>
    <row r="694" ht="15.75" customHeight="1">
      <c r="B694" s="1"/>
      <c r="C694" s="1"/>
      <c r="D694" s="1"/>
    </row>
    <row r="695" ht="15.75" customHeight="1">
      <c r="B695" s="1"/>
      <c r="C695" s="1"/>
      <c r="D695" s="1"/>
    </row>
    <row r="696" ht="15.75" customHeight="1">
      <c r="B696" s="1"/>
      <c r="C696" s="1"/>
      <c r="D696" s="1"/>
    </row>
    <row r="697" ht="15.75" customHeight="1">
      <c r="B697" s="1"/>
      <c r="C697" s="1"/>
      <c r="D697" s="1"/>
    </row>
    <row r="698" ht="15.75" customHeight="1">
      <c r="B698" s="1"/>
      <c r="C698" s="1"/>
      <c r="D698" s="1"/>
    </row>
    <row r="699" ht="15.75" customHeight="1">
      <c r="B699" s="1"/>
      <c r="C699" s="1"/>
      <c r="D699" s="1"/>
    </row>
    <row r="700" ht="15.75" customHeight="1">
      <c r="B700" s="1"/>
      <c r="C700" s="1"/>
      <c r="D700" s="1"/>
    </row>
    <row r="701" ht="15.75" customHeight="1">
      <c r="B701" s="1"/>
      <c r="C701" s="1"/>
      <c r="D701" s="1"/>
    </row>
    <row r="702" ht="15.75" customHeight="1">
      <c r="B702" s="1"/>
      <c r="C702" s="1"/>
      <c r="D702" s="1"/>
    </row>
    <row r="703" ht="15.75" customHeight="1">
      <c r="B703" s="1"/>
      <c r="C703" s="1"/>
      <c r="D703" s="1"/>
    </row>
    <row r="704" ht="15.75" customHeight="1">
      <c r="B704" s="1"/>
      <c r="C704" s="1"/>
      <c r="D704" s="1"/>
    </row>
    <row r="705" ht="15.75" customHeight="1">
      <c r="B705" s="1"/>
      <c r="C705" s="1"/>
      <c r="D705" s="1"/>
    </row>
    <row r="706" ht="15.75" customHeight="1">
      <c r="B706" s="1"/>
      <c r="C706" s="1"/>
      <c r="D706" s="1"/>
    </row>
    <row r="707" ht="15.75" customHeight="1">
      <c r="B707" s="1"/>
      <c r="C707" s="1"/>
      <c r="D707" s="1"/>
    </row>
    <row r="708" ht="15.75" customHeight="1">
      <c r="B708" s="1"/>
      <c r="C708" s="1"/>
      <c r="D708" s="1"/>
    </row>
    <row r="709" ht="15.75" customHeight="1">
      <c r="B709" s="1"/>
      <c r="C709" s="1"/>
      <c r="D709" s="1"/>
    </row>
    <row r="710" ht="15.75" customHeight="1">
      <c r="B710" s="1"/>
      <c r="C710" s="1"/>
      <c r="D710" s="1"/>
    </row>
    <row r="711" ht="15.75" customHeight="1">
      <c r="B711" s="1"/>
      <c r="C711" s="1"/>
      <c r="D711" s="1"/>
    </row>
    <row r="712" ht="15.75" customHeight="1">
      <c r="B712" s="1"/>
      <c r="C712" s="1"/>
      <c r="D712" s="1"/>
    </row>
    <row r="713" ht="15.75" customHeight="1">
      <c r="B713" s="1"/>
      <c r="C713" s="1"/>
      <c r="D713" s="1"/>
    </row>
    <row r="714" ht="15.75" customHeight="1">
      <c r="B714" s="1"/>
      <c r="C714" s="1"/>
      <c r="D714" s="1"/>
    </row>
    <row r="715" ht="15.75" customHeight="1">
      <c r="B715" s="1"/>
      <c r="C715" s="1"/>
      <c r="D715" s="1"/>
    </row>
    <row r="716" ht="15.75" customHeight="1">
      <c r="B716" s="1"/>
      <c r="C716" s="1"/>
      <c r="D716" s="1"/>
    </row>
    <row r="717" ht="15.75" customHeight="1">
      <c r="B717" s="1"/>
      <c r="C717" s="1"/>
      <c r="D717" s="1"/>
    </row>
    <row r="718" ht="15.75" customHeight="1">
      <c r="B718" s="1"/>
      <c r="C718" s="1"/>
      <c r="D718" s="1"/>
    </row>
    <row r="719" ht="15.75" customHeight="1">
      <c r="B719" s="1"/>
      <c r="C719" s="1"/>
      <c r="D719" s="1"/>
    </row>
    <row r="720" ht="15.75" customHeight="1">
      <c r="B720" s="1"/>
      <c r="C720" s="1"/>
      <c r="D720" s="1"/>
    </row>
    <row r="721" ht="15.75" customHeight="1">
      <c r="B721" s="1"/>
      <c r="C721" s="1"/>
      <c r="D721" s="1"/>
    </row>
    <row r="722" ht="15.75" customHeight="1">
      <c r="B722" s="1"/>
      <c r="C722" s="1"/>
      <c r="D722" s="1"/>
    </row>
    <row r="723" ht="15.75" customHeight="1">
      <c r="B723" s="1"/>
      <c r="C723" s="1"/>
      <c r="D723" s="1"/>
    </row>
    <row r="724" ht="15.75" customHeight="1">
      <c r="B724" s="1"/>
      <c r="C724" s="1"/>
      <c r="D724" s="1"/>
    </row>
    <row r="725" ht="15.75" customHeight="1">
      <c r="B725" s="1"/>
      <c r="C725" s="1"/>
      <c r="D725" s="1"/>
    </row>
    <row r="726" ht="15.75" customHeight="1">
      <c r="B726" s="1"/>
      <c r="C726" s="1"/>
      <c r="D726" s="1"/>
    </row>
    <row r="727" ht="15.75" customHeight="1">
      <c r="B727" s="1"/>
      <c r="C727" s="1"/>
      <c r="D727" s="1"/>
    </row>
    <row r="728" ht="15.75" customHeight="1">
      <c r="B728" s="1"/>
      <c r="C728" s="1"/>
      <c r="D728" s="1"/>
    </row>
    <row r="729" ht="15.75" customHeight="1">
      <c r="B729" s="1"/>
      <c r="C729" s="1"/>
      <c r="D729" s="1"/>
    </row>
    <row r="730" ht="15.75" customHeight="1">
      <c r="B730" s="1"/>
      <c r="C730" s="1"/>
      <c r="D730" s="1"/>
    </row>
    <row r="731" ht="15.75" customHeight="1">
      <c r="B731" s="1"/>
      <c r="C731" s="1"/>
      <c r="D731" s="1"/>
    </row>
    <row r="732" ht="15.75" customHeight="1">
      <c r="B732" s="1"/>
      <c r="C732" s="1"/>
      <c r="D732" s="1"/>
    </row>
    <row r="733" ht="15.75" customHeight="1">
      <c r="B733" s="1"/>
      <c r="C733" s="1"/>
      <c r="D733" s="1"/>
    </row>
    <row r="734" ht="15.75" customHeight="1">
      <c r="B734" s="1"/>
      <c r="C734" s="1"/>
      <c r="D734" s="1"/>
    </row>
    <row r="735" ht="15.75" customHeight="1">
      <c r="B735" s="1"/>
      <c r="C735" s="1"/>
      <c r="D735" s="1"/>
    </row>
    <row r="736" ht="15.75" customHeight="1">
      <c r="B736" s="1"/>
      <c r="C736" s="1"/>
      <c r="D736" s="1"/>
    </row>
    <row r="737" ht="15.75" customHeight="1">
      <c r="B737" s="1"/>
      <c r="C737" s="1"/>
      <c r="D737" s="1"/>
    </row>
    <row r="738" ht="15.75" customHeight="1">
      <c r="B738" s="1"/>
      <c r="C738" s="1"/>
      <c r="D738" s="1"/>
    </row>
    <row r="739" ht="15.75" customHeight="1">
      <c r="B739" s="1"/>
      <c r="C739" s="1"/>
      <c r="D739" s="1"/>
    </row>
    <row r="740" ht="15.75" customHeight="1">
      <c r="B740" s="1"/>
      <c r="C740" s="1"/>
      <c r="D740" s="1"/>
    </row>
    <row r="741" ht="15.75" customHeight="1">
      <c r="B741" s="1"/>
      <c r="C741" s="1"/>
      <c r="D741" s="1"/>
    </row>
    <row r="742" ht="15.75" customHeight="1">
      <c r="B742" s="1"/>
      <c r="C742" s="1"/>
      <c r="D742" s="1"/>
    </row>
    <row r="743" ht="15.75" customHeight="1">
      <c r="B743" s="1"/>
      <c r="C743" s="1"/>
      <c r="D743" s="1"/>
    </row>
    <row r="744" ht="15.75" customHeight="1">
      <c r="B744" s="1"/>
      <c r="C744" s="1"/>
      <c r="D744" s="1"/>
    </row>
    <row r="745" ht="15.75" customHeight="1">
      <c r="B745" s="1"/>
      <c r="C745" s="1"/>
      <c r="D745" s="1"/>
    </row>
    <row r="746" ht="15.75" customHeight="1">
      <c r="B746" s="1"/>
      <c r="C746" s="1"/>
      <c r="D746" s="1"/>
    </row>
    <row r="747" ht="15.75" customHeight="1">
      <c r="B747" s="1"/>
      <c r="C747" s="1"/>
      <c r="D747" s="1"/>
    </row>
    <row r="748" ht="15.75" customHeight="1">
      <c r="B748" s="1"/>
      <c r="C748" s="1"/>
      <c r="D748" s="1"/>
    </row>
    <row r="749" ht="15.75" customHeight="1">
      <c r="B749" s="1"/>
      <c r="C749" s="1"/>
      <c r="D749" s="1"/>
    </row>
    <row r="750" ht="15.75" customHeight="1">
      <c r="B750" s="1"/>
      <c r="C750" s="1"/>
      <c r="D750" s="1"/>
    </row>
    <row r="751" ht="15.75" customHeight="1">
      <c r="B751" s="1"/>
      <c r="C751" s="1"/>
      <c r="D751" s="1"/>
    </row>
    <row r="752" ht="15.75" customHeight="1">
      <c r="B752" s="1"/>
      <c r="C752" s="1"/>
      <c r="D752" s="1"/>
    </row>
    <row r="753" ht="15.75" customHeight="1">
      <c r="B753" s="1"/>
      <c r="C753" s="1"/>
      <c r="D753" s="1"/>
    </row>
    <row r="754" ht="15.75" customHeight="1">
      <c r="B754" s="1"/>
      <c r="C754" s="1"/>
      <c r="D754" s="1"/>
    </row>
    <row r="755" ht="15.75" customHeight="1">
      <c r="B755" s="1"/>
      <c r="C755" s="1"/>
      <c r="D755" s="1"/>
    </row>
    <row r="756" ht="15.75" customHeight="1">
      <c r="B756" s="1"/>
      <c r="C756" s="1"/>
      <c r="D756" s="1"/>
    </row>
    <row r="757" ht="15.75" customHeight="1">
      <c r="B757" s="1"/>
      <c r="C757" s="1"/>
      <c r="D757" s="1"/>
    </row>
    <row r="758" ht="15.75" customHeight="1">
      <c r="B758" s="1"/>
      <c r="C758" s="1"/>
      <c r="D758" s="1"/>
    </row>
    <row r="759" ht="15.75" customHeight="1">
      <c r="B759" s="1"/>
      <c r="C759" s="1"/>
      <c r="D759" s="1"/>
    </row>
    <row r="760" ht="15.75" customHeight="1">
      <c r="B760" s="1"/>
      <c r="C760" s="1"/>
      <c r="D760" s="1"/>
    </row>
    <row r="761" ht="15.75" customHeight="1">
      <c r="B761" s="1"/>
      <c r="C761" s="1"/>
      <c r="D761" s="1"/>
    </row>
    <row r="762" ht="15.75" customHeight="1">
      <c r="B762" s="1"/>
      <c r="C762" s="1"/>
      <c r="D762" s="1"/>
    </row>
    <row r="763" ht="15.75" customHeight="1">
      <c r="B763" s="1"/>
      <c r="C763" s="1"/>
      <c r="D763" s="1"/>
    </row>
    <row r="764" ht="15.75" customHeight="1">
      <c r="B764" s="1"/>
      <c r="C764" s="1"/>
      <c r="D764" s="1"/>
    </row>
    <row r="765" ht="15.75" customHeight="1">
      <c r="B765" s="1"/>
      <c r="C765" s="1"/>
      <c r="D765" s="1"/>
    </row>
    <row r="766" ht="15.75" customHeight="1">
      <c r="B766" s="1"/>
      <c r="C766" s="1"/>
      <c r="D766" s="1"/>
    </row>
    <row r="767" ht="15.75" customHeight="1">
      <c r="B767" s="1"/>
      <c r="C767" s="1"/>
      <c r="D767" s="1"/>
    </row>
    <row r="768" ht="15.75" customHeight="1">
      <c r="B768" s="1"/>
      <c r="C768" s="1"/>
      <c r="D768" s="1"/>
    </row>
    <row r="769" ht="15.75" customHeight="1">
      <c r="B769" s="1"/>
      <c r="C769" s="1"/>
      <c r="D769" s="1"/>
    </row>
    <row r="770" ht="15.75" customHeight="1">
      <c r="B770" s="1"/>
      <c r="C770" s="1"/>
      <c r="D770" s="1"/>
    </row>
    <row r="771" ht="15.75" customHeight="1">
      <c r="B771" s="1"/>
      <c r="C771" s="1"/>
      <c r="D771" s="1"/>
    </row>
    <row r="772" ht="15.75" customHeight="1">
      <c r="B772" s="1"/>
      <c r="C772" s="1"/>
      <c r="D772" s="1"/>
    </row>
    <row r="773" ht="15.75" customHeight="1">
      <c r="B773" s="1"/>
      <c r="C773" s="1"/>
      <c r="D773" s="1"/>
    </row>
    <row r="774" ht="15.75" customHeight="1">
      <c r="B774" s="1"/>
      <c r="C774" s="1"/>
      <c r="D774" s="1"/>
    </row>
    <row r="775" ht="15.75" customHeight="1">
      <c r="B775" s="1"/>
      <c r="C775" s="1"/>
      <c r="D775" s="1"/>
    </row>
    <row r="776" ht="15.75" customHeight="1">
      <c r="B776" s="1"/>
      <c r="C776" s="1"/>
      <c r="D776" s="1"/>
    </row>
    <row r="777" ht="15.75" customHeight="1">
      <c r="B777" s="1"/>
      <c r="C777" s="1"/>
      <c r="D777" s="1"/>
    </row>
    <row r="778" ht="15.75" customHeight="1">
      <c r="B778" s="1"/>
      <c r="C778" s="1"/>
      <c r="D778" s="1"/>
    </row>
    <row r="779" ht="15.75" customHeight="1">
      <c r="B779" s="1"/>
      <c r="C779" s="1"/>
      <c r="D779" s="1"/>
    </row>
    <row r="780" ht="15.75" customHeight="1">
      <c r="B780" s="1"/>
      <c r="C780" s="1"/>
      <c r="D780" s="1"/>
    </row>
    <row r="781" ht="15.75" customHeight="1">
      <c r="B781" s="1"/>
      <c r="C781" s="1"/>
      <c r="D781" s="1"/>
    </row>
    <row r="782" ht="15.75" customHeight="1">
      <c r="B782" s="1"/>
      <c r="C782" s="1"/>
      <c r="D782" s="1"/>
    </row>
    <row r="783" ht="15.75" customHeight="1">
      <c r="B783" s="1"/>
      <c r="C783" s="1"/>
      <c r="D783" s="1"/>
    </row>
    <row r="784" ht="15.75" customHeight="1">
      <c r="B784" s="1"/>
      <c r="C784" s="1"/>
      <c r="D784" s="1"/>
    </row>
    <row r="785" ht="15.75" customHeight="1">
      <c r="B785" s="1"/>
      <c r="C785" s="1"/>
      <c r="D785" s="1"/>
    </row>
    <row r="786" ht="15.75" customHeight="1">
      <c r="B786" s="1"/>
      <c r="C786" s="1"/>
      <c r="D786" s="1"/>
    </row>
    <row r="787" ht="15.75" customHeight="1">
      <c r="B787" s="1"/>
      <c r="C787" s="1"/>
      <c r="D787" s="1"/>
    </row>
    <row r="788" ht="15.75" customHeight="1">
      <c r="B788" s="1"/>
      <c r="C788" s="1"/>
      <c r="D788" s="1"/>
    </row>
    <row r="789" ht="15.75" customHeight="1">
      <c r="B789" s="1"/>
      <c r="C789" s="1"/>
      <c r="D789" s="1"/>
    </row>
    <row r="790" ht="15.75" customHeight="1">
      <c r="B790" s="1"/>
      <c r="C790" s="1"/>
      <c r="D790" s="1"/>
    </row>
    <row r="791" ht="15.75" customHeight="1">
      <c r="B791" s="1"/>
      <c r="C791" s="1"/>
      <c r="D791" s="1"/>
    </row>
    <row r="792" ht="15.75" customHeight="1">
      <c r="B792" s="1"/>
      <c r="C792" s="1"/>
      <c r="D792" s="1"/>
    </row>
    <row r="793" ht="15.75" customHeight="1">
      <c r="B793" s="1"/>
      <c r="C793" s="1"/>
      <c r="D793" s="1"/>
    </row>
    <row r="794" ht="15.75" customHeight="1">
      <c r="B794" s="1"/>
      <c r="C794" s="1"/>
      <c r="D794" s="1"/>
    </row>
    <row r="795" ht="15.75" customHeight="1">
      <c r="B795" s="1"/>
      <c r="C795" s="1"/>
      <c r="D795" s="1"/>
    </row>
    <row r="796" ht="15.75" customHeight="1">
      <c r="B796" s="1"/>
      <c r="C796" s="1"/>
      <c r="D796" s="1"/>
    </row>
    <row r="797" ht="15.75" customHeight="1">
      <c r="B797" s="1"/>
      <c r="C797" s="1"/>
      <c r="D797" s="1"/>
    </row>
    <row r="798" ht="15.75" customHeight="1">
      <c r="B798" s="1"/>
      <c r="C798" s="1"/>
      <c r="D798" s="1"/>
    </row>
    <row r="799" ht="15.75" customHeight="1">
      <c r="B799" s="1"/>
      <c r="C799" s="1"/>
      <c r="D799" s="1"/>
    </row>
    <row r="800" ht="15.75" customHeight="1">
      <c r="B800" s="1"/>
      <c r="C800" s="1"/>
      <c r="D800" s="1"/>
    </row>
    <row r="801" ht="15.75" customHeight="1">
      <c r="B801" s="1"/>
      <c r="C801" s="1"/>
      <c r="D801" s="1"/>
    </row>
    <row r="802" ht="15.75" customHeight="1">
      <c r="B802" s="1"/>
      <c r="C802" s="1"/>
      <c r="D802" s="1"/>
    </row>
    <row r="803" ht="15.75" customHeight="1">
      <c r="B803" s="1"/>
      <c r="C803" s="1"/>
      <c r="D803" s="1"/>
    </row>
    <row r="804" ht="15.75" customHeight="1">
      <c r="B804" s="1"/>
      <c r="C804" s="1"/>
      <c r="D804" s="1"/>
    </row>
    <row r="805" ht="15.75" customHeight="1">
      <c r="B805" s="1"/>
      <c r="C805" s="1"/>
      <c r="D805" s="1"/>
    </row>
    <row r="806" ht="15.75" customHeight="1">
      <c r="B806" s="1"/>
      <c r="C806" s="1"/>
      <c r="D806" s="1"/>
    </row>
    <row r="807" ht="15.75" customHeight="1">
      <c r="B807" s="1"/>
      <c r="C807" s="1"/>
      <c r="D807" s="1"/>
    </row>
    <row r="808" ht="15.75" customHeight="1">
      <c r="B808" s="1"/>
      <c r="C808" s="1"/>
      <c r="D808" s="1"/>
    </row>
    <row r="809" ht="15.75" customHeight="1">
      <c r="B809" s="1"/>
      <c r="C809" s="1"/>
      <c r="D809" s="1"/>
    </row>
    <row r="810" ht="15.75" customHeight="1">
      <c r="B810" s="1"/>
      <c r="C810" s="1"/>
      <c r="D810" s="1"/>
    </row>
    <row r="811" ht="15.75" customHeight="1">
      <c r="B811" s="1"/>
      <c r="C811" s="1"/>
      <c r="D811" s="1"/>
    </row>
    <row r="812" ht="15.75" customHeight="1">
      <c r="B812" s="1"/>
      <c r="C812" s="1"/>
      <c r="D812" s="1"/>
    </row>
    <row r="813" ht="15.75" customHeight="1">
      <c r="B813" s="1"/>
      <c r="C813" s="1"/>
      <c r="D813" s="1"/>
    </row>
    <row r="814" ht="15.75" customHeight="1">
      <c r="B814" s="1"/>
      <c r="C814" s="1"/>
      <c r="D814" s="1"/>
    </row>
    <row r="815" ht="15.75" customHeight="1">
      <c r="B815" s="1"/>
      <c r="C815" s="1"/>
      <c r="D815" s="1"/>
    </row>
    <row r="816" ht="15.75" customHeight="1">
      <c r="B816" s="1"/>
      <c r="C816" s="1"/>
      <c r="D816" s="1"/>
    </row>
    <row r="817" ht="15.75" customHeight="1">
      <c r="B817" s="1"/>
      <c r="C817" s="1"/>
      <c r="D817" s="1"/>
    </row>
    <row r="818" ht="15.75" customHeight="1">
      <c r="B818" s="1"/>
      <c r="C818" s="1"/>
      <c r="D818" s="1"/>
    </row>
    <row r="819" ht="15.75" customHeight="1">
      <c r="B819" s="1"/>
      <c r="C819" s="1"/>
      <c r="D819" s="1"/>
    </row>
    <row r="820" ht="15.75" customHeight="1">
      <c r="B820" s="1"/>
      <c r="C820" s="1"/>
      <c r="D820" s="1"/>
    </row>
    <row r="821" ht="15.75" customHeight="1">
      <c r="B821" s="1"/>
      <c r="C821" s="1"/>
      <c r="D821" s="1"/>
    </row>
    <row r="822" ht="15.75" customHeight="1">
      <c r="B822" s="1"/>
      <c r="C822" s="1"/>
      <c r="D822" s="1"/>
    </row>
    <row r="823" ht="15.75" customHeight="1">
      <c r="B823" s="1"/>
      <c r="C823" s="1"/>
      <c r="D823" s="1"/>
    </row>
    <row r="824" ht="15.75" customHeight="1">
      <c r="B824" s="1"/>
      <c r="C824" s="1"/>
      <c r="D824" s="1"/>
    </row>
    <row r="825" ht="15.75" customHeight="1">
      <c r="B825" s="1"/>
      <c r="C825" s="1"/>
      <c r="D825" s="1"/>
    </row>
    <row r="826" ht="15.75" customHeight="1">
      <c r="B826" s="1"/>
      <c r="C826" s="1"/>
      <c r="D826" s="1"/>
    </row>
    <row r="827" ht="15.75" customHeight="1">
      <c r="B827" s="1"/>
      <c r="C827" s="1"/>
      <c r="D827" s="1"/>
    </row>
    <row r="828" ht="15.75" customHeight="1">
      <c r="B828" s="1"/>
      <c r="C828" s="1"/>
      <c r="D828" s="1"/>
    </row>
    <row r="829" ht="15.75" customHeight="1">
      <c r="B829" s="1"/>
      <c r="C829" s="1"/>
      <c r="D829" s="1"/>
    </row>
    <row r="830" ht="15.75" customHeight="1">
      <c r="B830" s="1"/>
      <c r="C830" s="1"/>
      <c r="D830" s="1"/>
    </row>
    <row r="831" ht="15.75" customHeight="1">
      <c r="B831" s="1"/>
      <c r="C831" s="1"/>
      <c r="D831" s="1"/>
    </row>
    <row r="832" ht="15.75" customHeight="1">
      <c r="B832" s="1"/>
      <c r="C832" s="1"/>
      <c r="D832" s="1"/>
    </row>
    <row r="833" ht="15.75" customHeight="1">
      <c r="B833" s="1"/>
      <c r="C833" s="1"/>
      <c r="D833" s="1"/>
    </row>
    <row r="834" ht="15.75" customHeight="1">
      <c r="B834" s="1"/>
      <c r="C834" s="1"/>
      <c r="D834" s="1"/>
    </row>
    <row r="835" ht="15.75" customHeight="1">
      <c r="B835" s="1"/>
      <c r="C835" s="1"/>
      <c r="D835" s="1"/>
    </row>
    <row r="836" ht="15.75" customHeight="1">
      <c r="B836" s="1"/>
      <c r="C836" s="1"/>
      <c r="D836" s="1"/>
    </row>
    <row r="837" ht="15.75" customHeight="1">
      <c r="B837" s="1"/>
      <c r="C837" s="1"/>
      <c r="D837" s="1"/>
    </row>
    <row r="838" ht="15.75" customHeight="1">
      <c r="B838" s="1"/>
      <c r="C838" s="1"/>
      <c r="D838" s="1"/>
    </row>
    <row r="839" ht="15.75" customHeight="1">
      <c r="B839" s="1"/>
      <c r="C839" s="1"/>
      <c r="D839" s="1"/>
    </row>
    <row r="840" ht="15.75" customHeight="1">
      <c r="B840" s="1"/>
      <c r="C840" s="1"/>
      <c r="D840" s="1"/>
    </row>
    <row r="841" ht="15.75" customHeight="1">
      <c r="B841" s="1"/>
      <c r="C841" s="1"/>
      <c r="D841" s="1"/>
    </row>
    <row r="842" ht="15.75" customHeight="1">
      <c r="B842" s="1"/>
      <c r="C842" s="1"/>
      <c r="D842" s="1"/>
    </row>
    <row r="843" ht="15.75" customHeight="1">
      <c r="B843" s="1"/>
      <c r="C843" s="1"/>
      <c r="D843" s="1"/>
    </row>
    <row r="844" ht="15.75" customHeight="1">
      <c r="B844" s="1"/>
      <c r="C844" s="1"/>
      <c r="D844" s="1"/>
    </row>
    <row r="845" ht="15.75" customHeight="1">
      <c r="B845" s="1"/>
      <c r="C845" s="1"/>
      <c r="D845" s="1"/>
    </row>
    <row r="846" ht="15.75" customHeight="1">
      <c r="B846" s="1"/>
      <c r="C846" s="1"/>
      <c r="D846" s="1"/>
    </row>
    <row r="847" ht="15.75" customHeight="1">
      <c r="B847" s="1"/>
      <c r="C847" s="1"/>
      <c r="D847" s="1"/>
    </row>
    <row r="848" ht="15.75" customHeight="1">
      <c r="B848" s="1"/>
      <c r="C848" s="1"/>
      <c r="D848" s="1"/>
    </row>
    <row r="849" ht="15.75" customHeight="1">
      <c r="B849" s="1"/>
      <c r="C849" s="1"/>
      <c r="D849" s="1"/>
    </row>
    <row r="850" ht="15.75" customHeight="1">
      <c r="B850" s="1"/>
      <c r="C850" s="1"/>
      <c r="D850" s="1"/>
    </row>
    <row r="851" ht="15.75" customHeight="1">
      <c r="B851" s="1"/>
      <c r="C851" s="1"/>
      <c r="D851" s="1"/>
    </row>
    <row r="852" ht="15.75" customHeight="1">
      <c r="B852" s="1"/>
      <c r="C852" s="1"/>
      <c r="D852" s="1"/>
    </row>
    <row r="853" ht="15.75" customHeight="1">
      <c r="B853" s="1"/>
      <c r="C853" s="1"/>
      <c r="D853" s="1"/>
    </row>
    <row r="854" ht="15.75" customHeight="1">
      <c r="B854" s="1"/>
      <c r="C854" s="1"/>
      <c r="D854" s="1"/>
    </row>
    <row r="855" ht="15.75" customHeight="1">
      <c r="B855" s="1"/>
      <c r="C855" s="1"/>
      <c r="D855" s="1"/>
    </row>
    <row r="856" ht="15.75" customHeight="1">
      <c r="B856" s="1"/>
      <c r="C856" s="1"/>
      <c r="D856" s="1"/>
    </row>
    <row r="857" ht="15.75" customHeight="1">
      <c r="B857" s="1"/>
      <c r="C857" s="1"/>
      <c r="D857" s="1"/>
    </row>
    <row r="858" ht="15.75" customHeight="1">
      <c r="B858" s="1"/>
      <c r="C858" s="1"/>
      <c r="D858" s="1"/>
    </row>
    <row r="859" ht="15.75" customHeight="1">
      <c r="B859" s="1"/>
      <c r="C859" s="1"/>
      <c r="D859" s="1"/>
    </row>
    <row r="860" ht="15.75" customHeight="1">
      <c r="B860" s="1"/>
      <c r="C860" s="1"/>
      <c r="D860" s="1"/>
    </row>
    <row r="861" ht="15.75" customHeight="1">
      <c r="B861" s="1"/>
      <c r="C861" s="1"/>
      <c r="D861" s="1"/>
    </row>
    <row r="862" ht="15.75" customHeight="1">
      <c r="B862" s="1"/>
      <c r="C862" s="1"/>
      <c r="D862" s="1"/>
    </row>
    <row r="863" ht="15.75" customHeight="1">
      <c r="B863" s="1"/>
      <c r="C863" s="1"/>
      <c r="D863" s="1"/>
    </row>
    <row r="864" ht="15.75" customHeight="1">
      <c r="B864" s="1"/>
      <c r="C864" s="1"/>
      <c r="D864" s="1"/>
    </row>
    <row r="865" ht="15.75" customHeight="1">
      <c r="B865" s="1"/>
      <c r="C865" s="1"/>
      <c r="D865" s="1"/>
    </row>
    <row r="866" ht="15.75" customHeight="1">
      <c r="B866" s="1"/>
      <c r="C866" s="1"/>
      <c r="D866" s="1"/>
    </row>
    <row r="867" ht="15.75" customHeight="1">
      <c r="B867" s="1"/>
      <c r="C867" s="1"/>
      <c r="D867" s="1"/>
    </row>
    <row r="868" ht="15.75" customHeight="1">
      <c r="B868" s="1"/>
      <c r="C868" s="1"/>
      <c r="D868" s="1"/>
    </row>
    <row r="869" ht="15.75" customHeight="1">
      <c r="B869" s="1"/>
      <c r="C869" s="1"/>
      <c r="D869" s="1"/>
    </row>
    <row r="870" ht="15.75" customHeight="1">
      <c r="B870" s="1"/>
      <c r="C870" s="1"/>
      <c r="D870" s="1"/>
    </row>
    <row r="871" ht="15.75" customHeight="1">
      <c r="B871" s="1"/>
      <c r="C871" s="1"/>
      <c r="D871" s="1"/>
    </row>
    <row r="872" ht="15.75" customHeight="1">
      <c r="B872" s="1"/>
      <c r="C872" s="1"/>
      <c r="D872" s="1"/>
    </row>
    <row r="873" ht="15.75" customHeight="1">
      <c r="B873" s="1"/>
      <c r="C873" s="1"/>
      <c r="D873" s="1"/>
    </row>
    <row r="874" ht="15.75" customHeight="1">
      <c r="B874" s="1"/>
      <c r="C874" s="1"/>
      <c r="D874" s="1"/>
    </row>
    <row r="875" ht="15.75" customHeight="1">
      <c r="B875" s="1"/>
      <c r="C875" s="1"/>
      <c r="D875" s="1"/>
    </row>
    <row r="876" ht="15.75" customHeight="1">
      <c r="B876" s="1"/>
      <c r="C876" s="1"/>
      <c r="D876" s="1"/>
    </row>
    <row r="877" ht="15.75" customHeight="1">
      <c r="B877" s="1"/>
      <c r="C877" s="1"/>
      <c r="D877" s="1"/>
    </row>
    <row r="878" ht="15.75" customHeight="1">
      <c r="B878" s="1"/>
      <c r="C878" s="1"/>
      <c r="D878" s="1"/>
    </row>
    <row r="879" ht="15.75" customHeight="1">
      <c r="B879" s="1"/>
      <c r="C879" s="1"/>
      <c r="D879" s="1"/>
    </row>
    <row r="880" ht="15.75" customHeight="1">
      <c r="B880" s="1"/>
      <c r="C880" s="1"/>
      <c r="D880" s="1"/>
    </row>
    <row r="881" ht="15.75" customHeight="1">
      <c r="B881" s="1"/>
      <c r="C881" s="1"/>
      <c r="D881" s="1"/>
    </row>
    <row r="882" ht="15.75" customHeight="1">
      <c r="B882" s="1"/>
      <c r="C882" s="1"/>
      <c r="D882" s="1"/>
    </row>
    <row r="883" ht="15.75" customHeight="1">
      <c r="B883" s="1"/>
      <c r="C883" s="1"/>
      <c r="D883" s="1"/>
    </row>
    <row r="884" ht="15.75" customHeight="1">
      <c r="B884" s="1"/>
      <c r="C884" s="1"/>
      <c r="D884" s="1"/>
    </row>
    <row r="885" ht="15.75" customHeight="1">
      <c r="B885" s="1"/>
      <c r="C885" s="1"/>
      <c r="D885" s="1"/>
    </row>
    <row r="886" ht="15.75" customHeight="1">
      <c r="B886" s="1"/>
      <c r="C886" s="1"/>
      <c r="D886" s="1"/>
    </row>
    <row r="887" ht="15.75" customHeight="1">
      <c r="B887" s="1"/>
      <c r="C887" s="1"/>
      <c r="D887" s="1"/>
    </row>
    <row r="888" ht="15.75" customHeight="1">
      <c r="B888" s="1"/>
      <c r="C888" s="1"/>
      <c r="D888" s="1"/>
    </row>
    <row r="889" ht="15.75" customHeight="1">
      <c r="B889" s="1"/>
      <c r="C889" s="1"/>
      <c r="D889" s="1"/>
    </row>
    <row r="890" ht="15.75" customHeight="1">
      <c r="B890" s="1"/>
      <c r="C890" s="1"/>
      <c r="D890" s="1"/>
    </row>
    <row r="891" ht="15.75" customHeight="1">
      <c r="B891" s="1"/>
      <c r="C891" s="1"/>
      <c r="D891" s="1"/>
    </row>
    <row r="892" ht="15.75" customHeight="1">
      <c r="B892" s="1"/>
      <c r="C892" s="1"/>
      <c r="D892" s="1"/>
    </row>
    <row r="893" ht="15.75" customHeight="1">
      <c r="B893" s="1"/>
      <c r="C893" s="1"/>
      <c r="D893" s="1"/>
    </row>
    <row r="894" ht="15.75" customHeight="1">
      <c r="B894" s="1"/>
      <c r="C894" s="1"/>
      <c r="D894" s="1"/>
    </row>
    <row r="895" ht="15.75" customHeight="1">
      <c r="B895" s="1"/>
      <c r="C895" s="1"/>
      <c r="D895" s="1"/>
    </row>
    <row r="896" ht="15.75" customHeight="1">
      <c r="B896" s="1"/>
      <c r="C896" s="1"/>
      <c r="D896" s="1"/>
    </row>
    <row r="897" ht="15.75" customHeight="1">
      <c r="B897" s="1"/>
      <c r="C897" s="1"/>
      <c r="D897" s="1"/>
    </row>
    <row r="898" ht="15.75" customHeight="1">
      <c r="B898" s="1"/>
      <c r="C898" s="1"/>
      <c r="D898" s="1"/>
    </row>
    <row r="899" ht="15.75" customHeight="1">
      <c r="B899" s="1"/>
      <c r="C899" s="1"/>
      <c r="D899" s="1"/>
    </row>
    <row r="900" ht="15.75" customHeight="1">
      <c r="B900" s="1"/>
      <c r="C900" s="1"/>
      <c r="D900" s="1"/>
    </row>
    <row r="901" ht="15.75" customHeight="1">
      <c r="B901" s="1"/>
      <c r="C901" s="1"/>
      <c r="D901" s="1"/>
    </row>
    <row r="902" ht="15.75" customHeight="1">
      <c r="B902" s="1"/>
      <c r="C902" s="1"/>
      <c r="D902" s="1"/>
    </row>
    <row r="903" ht="15.75" customHeight="1">
      <c r="B903" s="1"/>
      <c r="C903" s="1"/>
      <c r="D903" s="1"/>
    </row>
    <row r="904" ht="15.75" customHeight="1">
      <c r="B904" s="1"/>
      <c r="C904" s="1"/>
      <c r="D904" s="1"/>
    </row>
    <row r="905" ht="15.75" customHeight="1">
      <c r="B905" s="1"/>
      <c r="C905" s="1"/>
      <c r="D905" s="1"/>
    </row>
    <row r="906" ht="15.75" customHeight="1">
      <c r="B906" s="1"/>
      <c r="C906" s="1"/>
      <c r="D906" s="1"/>
    </row>
    <row r="907" ht="15.75" customHeight="1">
      <c r="B907" s="1"/>
      <c r="C907" s="1"/>
      <c r="D907" s="1"/>
    </row>
    <row r="908" ht="15.75" customHeight="1">
      <c r="B908" s="1"/>
      <c r="C908" s="1"/>
      <c r="D908" s="1"/>
    </row>
    <row r="909" ht="15.75" customHeight="1">
      <c r="B909" s="1"/>
      <c r="C909" s="1"/>
      <c r="D909" s="1"/>
    </row>
    <row r="910" ht="15.75" customHeight="1">
      <c r="B910" s="1"/>
      <c r="C910" s="1"/>
      <c r="D910" s="1"/>
    </row>
    <row r="911" ht="15.75" customHeight="1">
      <c r="B911" s="1"/>
      <c r="C911" s="1"/>
      <c r="D911" s="1"/>
    </row>
    <row r="912" ht="15.75" customHeight="1">
      <c r="B912" s="1"/>
      <c r="C912" s="1"/>
      <c r="D912" s="1"/>
    </row>
    <row r="913" ht="15.75" customHeight="1">
      <c r="B913" s="1"/>
      <c r="C913" s="1"/>
      <c r="D913" s="1"/>
    </row>
    <row r="914" ht="15.75" customHeight="1">
      <c r="B914" s="1"/>
      <c r="C914" s="1"/>
      <c r="D914" s="1"/>
    </row>
    <row r="915" ht="15.75" customHeight="1">
      <c r="B915" s="1"/>
      <c r="C915" s="1"/>
      <c r="D915" s="1"/>
    </row>
    <row r="916" ht="15.75" customHeight="1">
      <c r="B916" s="1"/>
      <c r="C916" s="1"/>
      <c r="D916" s="1"/>
    </row>
    <row r="917" ht="15.75" customHeight="1">
      <c r="B917" s="1"/>
      <c r="C917" s="1"/>
      <c r="D917" s="1"/>
    </row>
    <row r="918" ht="15.75" customHeight="1">
      <c r="B918" s="1"/>
      <c r="C918" s="1"/>
      <c r="D918" s="1"/>
    </row>
    <row r="919" ht="15.75" customHeight="1">
      <c r="B919" s="1"/>
      <c r="C919" s="1"/>
      <c r="D919" s="1"/>
    </row>
    <row r="920" ht="15.75" customHeight="1">
      <c r="B920" s="1"/>
      <c r="C920" s="1"/>
      <c r="D920" s="1"/>
    </row>
    <row r="921" ht="15.75" customHeight="1">
      <c r="B921" s="1"/>
      <c r="C921" s="1"/>
      <c r="D921" s="1"/>
    </row>
    <row r="922" ht="15.75" customHeight="1">
      <c r="B922" s="1"/>
      <c r="C922" s="1"/>
      <c r="D922" s="1"/>
    </row>
    <row r="923" ht="15.75" customHeight="1">
      <c r="B923" s="1"/>
      <c r="C923" s="1"/>
      <c r="D923" s="1"/>
    </row>
    <row r="924" ht="15.75" customHeight="1">
      <c r="B924" s="1"/>
      <c r="C924" s="1"/>
      <c r="D924" s="1"/>
    </row>
    <row r="925" ht="15.75" customHeight="1">
      <c r="B925" s="1"/>
      <c r="C925" s="1"/>
      <c r="D925" s="1"/>
    </row>
    <row r="926" ht="15.75" customHeight="1">
      <c r="B926" s="1"/>
      <c r="C926" s="1"/>
      <c r="D926" s="1"/>
    </row>
    <row r="927" ht="15.75" customHeight="1">
      <c r="B927" s="1"/>
      <c r="C927" s="1"/>
      <c r="D927" s="1"/>
    </row>
    <row r="928" ht="15.75" customHeight="1">
      <c r="B928" s="1"/>
      <c r="C928" s="1"/>
      <c r="D928" s="1"/>
    </row>
    <row r="929" ht="15.75" customHeight="1">
      <c r="B929" s="1"/>
      <c r="C929" s="1"/>
      <c r="D929" s="1"/>
    </row>
    <row r="930" ht="15.75" customHeight="1">
      <c r="B930" s="1"/>
      <c r="C930" s="1"/>
      <c r="D930" s="1"/>
    </row>
    <row r="931" ht="15.75" customHeight="1">
      <c r="B931" s="1"/>
      <c r="C931" s="1"/>
      <c r="D931" s="1"/>
    </row>
    <row r="932" ht="15.75" customHeight="1">
      <c r="B932" s="1"/>
      <c r="C932" s="1"/>
      <c r="D932" s="1"/>
    </row>
    <row r="933" ht="15.75" customHeight="1">
      <c r="B933" s="1"/>
      <c r="C933" s="1"/>
      <c r="D933" s="1"/>
    </row>
    <row r="934" ht="15.75" customHeight="1">
      <c r="B934" s="1"/>
      <c r="C934" s="1"/>
      <c r="D934" s="1"/>
    </row>
    <row r="935" ht="15.75" customHeight="1">
      <c r="B935" s="1"/>
      <c r="C935" s="1"/>
      <c r="D935" s="1"/>
    </row>
    <row r="936" ht="15.75" customHeight="1">
      <c r="B936" s="1"/>
      <c r="C936" s="1"/>
      <c r="D936" s="1"/>
    </row>
    <row r="937" ht="15.75" customHeight="1">
      <c r="B937" s="1"/>
      <c r="C937" s="1"/>
      <c r="D937" s="1"/>
    </row>
    <row r="938" ht="15.75" customHeight="1">
      <c r="B938" s="1"/>
      <c r="C938" s="1"/>
      <c r="D938" s="1"/>
    </row>
    <row r="939" ht="15.75" customHeight="1">
      <c r="B939" s="1"/>
      <c r="C939" s="1"/>
      <c r="D939" s="1"/>
    </row>
    <row r="940" ht="15.75" customHeight="1">
      <c r="B940" s="1"/>
      <c r="C940" s="1"/>
      <c r="D940" s="1"/>
    </row>
    <row r="941" ht="15.75" customHeight="1">
      <c r="B941" s="1"/>
      <c r="C941" s="1"/>
      <c r="D941" s="1"/>
    </row>
    <row r="942" ht="15.75" customHeight="1">
      <c r="B942" s="1"/>
      <c r="C942" s="1"/>
      <c r="D942" s="1"/>
    </row>
    <row r="943" ht="15.75" customHeight="1">
      <c r="B943" s="1"/>
      <c r="C943" s="1"/>
      <c r="D943" s="1"/>
    </row>
    <row r="944" ht="15.75" customHeight="1">
      <c r="B944" s="1"/>
      <c r="C944" s="1"/>
      <c r="D944" s="1"/>
    </row>
    <row r="945" ht="15.75" customHeight="1">
      <c r="B945" s="1"/>
      <c r="C945" s="1"/>
      <c r="D945" s="1"/>
    </row>
    <row r="946" ht="15.75" customHeight="1">
      <c r="B946" s="1"/>
      <c r="C946" s="1"/>
      <c r="D946" s="1"/>
    </row>
    <row r="947" ht="15.75" customHeight="1">
      <c r="B947" s="1"/>
      <c r="C947" s="1"/>
      <c r="D947" s="1"/>
    </row>
    <row r="948" ht="15.75" customHeight="1">
      <c r="B948" s="1"/>
      <c r="C948" s="1"/>
      <c r="D948" s="1"/>
    </row>
    <row r="949" ht="15.75" customHeight="1">
      <c r="B949" s="1"/>
      <c r="C949" s="1"/>
      <c r="D949" s="1"/>
    </row>
    <row r="950" ht="15.75" customHeight="1">
      <c r="B950" s="1"/>
      <c r="C950" s="1"/>
      <c r="D950" s="1"/>
    </row>
    <row r="951" ht="15.75" customHeight="1">
      <c r="B951" s="1"/>
      <c r="C951" s="1"/>
      <c r="D951" s="1"/>
    </row>
    <row r="952" ht="15.75" customHeight="1">
      <c r="B952" s="1"/>
      <c r="C952" s="1"/>
      <c r="D952" s="1"/>
    </row>
    <row r="953" ht="15.75" customHeight="1">
      <c r="B953" s="1"/>
      <c r="C953" s="1"/>
      <c r="D953" s="1"/>
    </row>
    <row r="954" ht="15.75" customHeight="1">
      <c r="B954" s="1"/>
      <c r="C954" s="1"/>
      <c r="D954" s="1"/>
    </row>
    <row r="955" ht="15.75" customHeight="1">
      <c r="B955" s="1"/>
      <c r="C955" s="1"/>
      <c r="D955" s="1"/>
    </row>
    <row r="956" ht="15.75" customHeight="1">
      <c r="B956" s="1"/>
      <c r="C956" s="1"/>
      <c r="D956" s="1"/>
    </row>
    <row r="957" ht="15.75" customHeight="1">
      <c r="B957" s="1"/>
      <c r="C957" s="1"/>
      <c r="D957" s="1"/>
    </row>
    <row r="958" ht="15.75" customHeight="1">
      <c r="B958" s="1"/>
      <c r="C958" s="1"/>
      <c r="D958" s="1"/>
    </row>
    <row r="959" ht="15.75" customHeight="1">
      <c r="B959" s="1"/>
      <c r="C959" s="1"/>
      <c r="D959" s="1"/>
    </row>
    <row r="960" ht="15.75" customHeight="1">
      <c r="B960" s="1"/>
      <c r="C960" s="1"/>
      <c r="D960" s="1"/>
    </row>
    <row r="961" ht="15.75" customHeight="1">
      <c r="B961" s="1"/>
      <c r="C961" s="1"/>
      <c r="D961" s="1"/>
    </row>
    <row r="962" ht="15.75" customHeight="1">
      <c r="B962" s="1"/>
      <c r="C962" s="1"/>
      <c r="D962" s="1"/>
    </row>
    <row r="963" ht="15.75" customHeight="1">
      <c r="B963" s="1"/>
      <c r="C963" s="1"/>
      <c r="D963" s="1"/>
    </row>
    <row r="964" ht="15.75" customHeight="1">
      <c r="B964" s="1"/>
      <c r="C964" s="1"/>
      <c r="D964" s="1"/>
    </row>
    <row r="965" ht="15.75" customHeight="1">
      <c r="B965" s="1"/>
      <c r="C965" s="1"/>
      <c r="D965" s="1"/>
    </row>
    <row r="966" ht="15.75" customHeight="1">
      <c r="B966" s="1"/>
      <c r="C966" s="1"/>
      <c r="D966" s="1"/>
    </row>
    <row r="967" ht="15.75" customHeight="1">
      <c r="B967" s="1"/>
      <c r="C967" s="1"/>
      <c r="D967" s="1"/>
    </row>
    <row r="968" ht="15.75" customHeight="1">
      <c r="B968" s="1"/>
      <c r="C968" s="1"/>
      <c r="D968" s="1"/>
    </row>
    <row r="969" ht="15.75" customHeight="1">
      <c r="B969" s="1"/>
      <c r="C969" s="1"/>
      <c r="D969" s="1"/>
    </row>
    <row r="970" ht="15.75" customHeight="1">
      <c r="B970" s="1"/>
      <c r="C970" s="1"/>
      <c r="D970" s="1"/>
    </row>
    <row r="971" ht="15.75" customHeight="1">
      <c r="B971" s="1"/>
      <c r="C971" s="1"/>
      <c r="D971" s="1"/>
    </row>
    <row r="972" ht="15.75" customHeight="1">
      <c r="B972" s="1"/>
      <c r="C972" s="1"/>
      <c r="D972" s="1"/>
    </row>
    <row r="973" ht="15.75" customHeight="1">
      <c r="B973" s="1"/>
      <c r="C973" s="1"/>
      <c r="D973" s="1"/>
    </row>
    <row r="974" ht="15.75" customHeight="1">
      <c r="B974" s="1"/>
      <c r="C974" s="1"/>
      <c r="D974" s="1"/>
    </row>
    <row r="975" ht="15.75" customHeight="1">
      <c r="B975" s="1"/>
      <c r="C975" s="1"/>
      <c r="D975" s="1"/>
    </row>
    <row r="976" ht="15.75" customHeight="1">
      <c r="B976" s="1"/>
      <c r="C976" s="1"/>
      <c r="D976" s="1"/>
    </row>
    <row r="977" ht="15.75" customHeight="1">
      <c r="B977" s="1"/>
      <c r="C977" s="1"/>
      <c r="D977" s="1"/>
    </row>
    <row r="978" ht="15.75" customHeight="1">
      <c r="B978" s="1"/>
      <c r="C978" s="1"/>
      <c r="D978" s="1"/>
    </row>
    <row r="979" ht="15.75" customHeight="1">
      <c r="B979" s="1"/>
      <c r="C979" s="1"/>
      <c r="D979" s="1"/>
    </row>
    <row r="980" ht="15.75" customHeight="1">
      <c r="B980" s="1"/>
      <c r="C980" s="1"/>
      <c r="D980" s="1"/>
    </row>
    <row r="981" ht="15.75" customHeight="1">
      <c r="B981" s="1"/>
      <c r="C981" s="1"/>
      <c r="D981" s="1"/>
    </row>
    <row r="982" ht="15.75" customHeight="1">
      <c r="B982" s="1"/>
      <c r="C982" s="1"/>
      <c r="D982" s="1"/>
    </row>
    <row r="983" ht="15.75" customHeight="1">
      <c r="B983" s="1"/>
      <c r="C983" s="1"/>
      <c r="D983" s="1"/>
    </row>
    <row r="984" ht="15.75" customHeight="1">
      <c r="B984" s="1"/>
      <c r="C984" s="1"/>
      <c r="D984" s="1"/>
    </row>
    <row r="985" ht="15.75" customHeight="1">
      <c r="B985" s="1"/>
      <c r="C985" s="1"/>
      <c r="D985" s="1"/>
    </row>
    <row r="986" ht="15.75" customHeight="1">
      <c r="B986" s="1"/>
      <c r="C986" s="1"/>
      <c r="D986" s="1"/>
    </row>
    <row r="987" ht="15.75" customHeight="1">
      <c r="B987" s="1"/>
      <c r="C987" s="1"/>
      <c r="D987" s="1"/>
    </row>
    <row r="988" ht="15.75" customHeight="1">
      <c r="B988" s="1"/>
      <c r="C988" s="1"/>
      <c r="D988" s="1"/>
    </row>
    <row r="989" ht="15.75" customHeight="1">
      <c r="B989" s="1"/>
      <c r="C989" s="1"/>
      <c r="D989" s="1"/>
    </row>
    <row r="990" ht="15.75" customHeight="1">
      <c r="B990" s="1"/>
      <c r="C990" s="1"/>
      <c r="D990" s="1"/>
    </row>
    <row r="991" ht="15.75" customHeight="1">
      <c r="B991" s="1"/>
      <c r="C991" s="1"/>
      <c r="D991" s="1"/>
    </row>
    <row r="992" ht="15.75" customHeight="1">
      <c r="B992" s="1"/>
      <c r="C992" s="1"/>
      <c r="D992" s="1"/>
    </row>
    <row r="993" ht="15.75" customHeight="1">
      <c r="B993" s="1"/>
      <c r="C993" s="1"/>
      <c r="D993" s="1"/>
    </row>
    <row r="994" ht="15.75" customHeight="1">
      <c r="B994" s="1"/>
      <c r="C994" s="1"/>
      <c r="D994" s="1"/>
    </row>
    <row r="995" ht="15.75" customHeight="1">
      <c r="B995" s="1"/>
      <c r="C995" s="1"/>
      <c r="D995" s="1"/>
    </row>
    <row r="996" ht="15.75" customHeight="1">
      <c r="B996" s="1"/>
      <c r="C996" s="1"/>
      <c r="D996" s="1"/>
    </row>
    <row r="997" ht="15.75" customHeight="1">
      <c r="B997" s="1"/>
      <c r="C997" s="1"/>
      <c r="D997" s="1"/>
    </row>
    <row r="998" ht="15.75" customHeight="1">
      <c r="B998" s="1"/>
      <c r="C998" s="1"/>
      <c r="D998" s="1"/>
    </row>
    <row r="999" ht="15.75" customHeight="1">
      <c r="B999" s="1"/>
      <c r="C999" s="1"/>
      <c r="D999" s="1"/>
    </row>
    <row r="1000" ht="15.75" customHeight="1">
      <c r="B1000" s="1"/>
      <c r="C1000" s="1"/>
      <c r="D1000" s="1"/>
    </row>
  </sheetData>
  <conditionalFormatting sqref="O9">
    <cfRule type="cellIs" dxfId="0" priority="1" operator="greaterThan">
      <formula>0</formula>
    </cfRule>
  </conditionalFormatting>
  <conditionalFormatting sqref="O8:T8">
    <cfRule type="cellIs" dxfId="0" priority="2" operator="greaterThan">
      <formula>0</formula>
    </cfRule>
  </conditionalFormatting>
  <conditionalFormatting sqref="M11:N11 P10:S11">
    <cfRule type="cellIs" dxfId="0" priority="3" operator="greaterThan">
      <formula>0</formula>
    </cfRule>
  </conditionalFormatting>
  <conditionalFormatting sqref="N11">
    <cfRule type="cellIs" dxfId="0" priority="4" operator="greaterThan">
      <formula>0</formula>
    </cfRule>
  </conditionalFormatting>
  <conditionalFormatting sqref="Q10:S11">
    <cfRule type="cellIs" dxfId="0" priority="5" operator="greaterThan">
      <formula>0</formula>
    </cfRule>
  </conditionalFormatting>
  <conditionalFormatting sqref="O10:O11">
    <cfRule type="cellIs" dxfId="0" priority="6" operator="greaterThan">
      <formula>0</formula>
    </cfRule>
  </conditionalFormatting>
  <conditionalFormatting sqref="O10:O11">
    <cfRule type="cellIs" dxfId="0" priority="7" operator="greaterThan">
      <formula>0</formula>
    </cfRule>
  </conditionalFormatting>
  <conditionalFormatting sqref="V7">
    <cfRule type="cellIs" dxfId="0" priority="8" operator="greaterThan">
      <formula>0</formula>
    </cfRule>
  </conditionalFormatting>
  <conditionalFormatting sqref="T10:T11">
    <cfRule type="cellIs" dxfId="0" priority="9" operator="greaterThan">
      <formula>0</formula>
    </cfRule>
  </conditionalFormatting>
  <conditionalFormatting sqref="M11:N11">
    <cfRule type="cellIs" dxfId="0" priority="10" operator="greaterThan">
      <formula>0</formula>
    </cfRule>
  </conditionalFormatting>
  <conditionalFormatting sqref="P7:Q7">
    <cfRule type="cellIs" dxfId="0" priority="11" operator="greaterThan">
      <formula>0</formula>
    </cfRule>
  </conditionalFormatting>
  <conditionalFormatting sqref="P7:S7">
    <cfRule type="cellIs" dxfId="0" priority="12" operator="greaterThan">
      <formula>0</formula>
    </cfRule>
  </conditionalFormatting>
  <conditionalFormatting sqref="O7">
    <cfRule type="cellIs" dxfId="0" priority="13" operator="greaterThan">
      <formula>0</formula>
    </cfRule>
  </conditionalFormatting>
  <conditionalFormatting sqref="O8">
    <cfRule type="cellIs" dxfId="0" priority="14" operator="greaterThan">
      <formula>0</formula>
    </cfRule>
  </conditionalFormatting>
  <conditionalFormatting sqref="U7 W7:X7">
    <cfRule type="cellIs" dxfId="0" priority="15" operator="greaterThan">
      <formula>0</formula>
    </cfRule>
  </conditionalFormatting>
  <conditionalFormatting sqref="P9:T9">
    <cfRule type="cellIs" dxfId="0" priority="16" operator="greaterThan">
      <formula>0</formula>
    </cfRule>
  </conditionalFormatting>
  <conditionalFormatting sqref="O9">
    <cfRule type="cellIs" dxfId="0" priority="17" operator="greaterThan">
      <formula>0</formula>
    </cfRule>
  </conditionalFormatting>
  <conditionalFormatting sqref="V9">
    <cfRule type="cellIs" dxfId="0" priority="18" operator="greaterThan">
      <formula>0</formula>
    </cfRule>
  </conditionalFormatting>
  <conditionalFormatting sqref="M11:N11 P10:S11">
    <cfRule type="cellIs" dxfId="0" priority="19" operator="greaterThan">
      <formula>0</formula>
    </cfRule>
  </conditionalFormatting>
  <conditionalFormatting sqref="U10:U11">
    <cfRule type="cellIs" dxfId="0" priority="20" operator="greaterThan">
      <formula>0</formula>
    </cfRule>
  </conditionalFormatting>
  <conditionalFormatting sqref="O10:O11">
    <cfRule type="cellIs" dxfId="0" priority="21" operator="greaterThan">
      <formula>0</formula>
    </cfRule>
  </conditionalFormatting>
  <conditionalFormatting sqref="O10:O11">
    <cfRule type="cellIs" dxfId="0" priority="22" operator="greaterThan">
      <formula>0</formula>
    </cfRule>
  </conditionalFormatting>
  <conditionalFormatting sqref="X10:Z11">
    <cfRule type="cellIs" dxfId="0" priority="23" operator="greaterThan">
      <formula>0</formula>
    </cfRule>
  </conditionalFormatting>
  <conditionalFormatting sqref="U10:U11 W10:Z11">
    <cfRule type="cellIs" dxfId="0" priority="24" operator="greaterThan">
      <formula>0</formula>
    </cfRule>
  </conditionalFormatting>
  <conditionalFormatting sqref="U10:U11 W10:Z11">
    <cfRule type="cellIs" dxfId="0" priority="25" operator="greaterThan">
      <formula>0</formula>
    </cfRule>
  </conditionalFormatting>
  <conditionalFormatting sqref="U10:U11">
    <cfRule type="cellIs" dxfId="0" priority="26" operator="greaterThan">
      <formula>0</formula>
    </cfRule>
  </conditionalFormatting>
  <conditionalFormatting sqref="V10:V11">
    <cfRule type="cellIs" dxfId="0" priority="27" operator="greaterThan">
      <formula>0</formula>
    </cfRule>
  </conditionalFormatting>
  <conditionalFormatting sqref="V10:V11">
    <cfRule type="cellIs" dxfId="0" priority="28" operator="greaterThan">
      <formula>0</formula>
    </cfRule>
  </conditionalFormatting>
  <conditionalFormatting sqref="V10:V11">
    <cfRule type="cellIs" dxfId="0" priority="29" operator="greaterThan">
      <formula>0</formula>
    </cfRule>
  </conditionalFormatting>
  <conditionalFormatting sqref="V10:V11">
    <cfRule type="cellIs" dxfId="0" priority="30" operator="greaterThan">
      <formula>0</formula>
    </cfRule>
  </conditionalFormatting>
  <conditionalFormatting sqref="U8 W8:Z8">
    <cfRule type="cellIs" dxfId="0" priority="31" operator="greaterThan">
      <formula>0</formula>
    </cfRule>
  </conditionalFormatting>
  <conditionalFormatting sqref="T8">
    <cfRule type="cellIs" dxfId="0" priority="32" operator="greaterThan">
      <formula>0</formula>
    </cfRule>
  </conditionalFormatting>
  <conditionalFormatting sqref="T10:T11">
    <cfRule type="cellIs" dxfId="0" priority="33" operator="greaterThan">
      <formula>0</formula>
    </cfRule>
  </conditionalFormatting>
  <conditionalFormatting sqref="T7">
    <cfRule type="cellIs" dxfId="0" priority="34" operator="greaterThan">
      <formula>0</formula>
    </cfRule>
  </conditionalFormatting>
  <conditionalFormatting sqref="W7:Z7">
    <cfRule type="cellIs" dxfId="0" priority="35" operator="greaterThan">
      <formula>0</formula>
    </cfRule>
  </conditionalFormatting>
  <conditionalFormatting sqref="V8">
    <cfRule type="cellIs" dxfId="0" priority="36" operator="greaterThan">
      <formula>0</formula>
    </cfRule>
  </conditionalFormatting>
  <conditionalFormatting sqref="U9 W9:Z9">
    <cfRule type="cellIs" dxfId="0" priority="37" operator="greaterThan">
      <formula>0</formula>
    </cfRule>
  </conditionalFormatting>
  <conditionalFormatting sqref="T9">
    <cfRule type="cellIs" dxfId="0" priority="38" operator="greaterThan">
      <formula>0</formula>
    </cfRule>
  </conditionalFormatting>
  <conditionalFormatting sqref="T10:T11">
    <cfRule type="cellIs" dxfId="0" priority="39" operator="greaterThan">
      <formula>0</formula>
    </cfRule>
  </conditionalFormatting>
  <conditionalFormatting sqref="T14">
    <cfRule type="cellIs" dxfId="0" priority="40" operator="greaterThan">
      <formula>0</formula>
    </cfRule>
  </conditionalFormatting>
  <conditionalFormatting sqref="O14">
    <cfRule type="cellIs" dxfId="0" priority="41" operator="greaterThan">
      <formula>0</formula>
    </cfRule>
  </conditionalFormatting>
  <conditionalFormatting sqref="U14">
    <cfRule type="cellIs" dxfId="0" priority="42" operator="greaterThan">
      <formula>0</formula>
    </cfRule>
  </conditionalFormatting>
  <conditionalFormatting sqref="P14:S14">
    <cfRule type="cellIs" dxfId="0" priority="43" operator="greaterThan">
      <formula>0</formula>
    </cfRule>
  </conditionalFormatting>
  <conditionalFormatting sqref="Q14:S14">
    <cfRule type="cellIs" dxfId="0" priority="44" operator="greaterThan">
      <formula>0</formula>
    </cfRule>
  </conditionalFormatting>
  <conditionalFormatting sqref="P14:S14">
    <cfRule type="cellIs" dxfId="0" priority="45" operator="greaterThan">
      <formula>0</formula>
    </cfRule>
  </conditionalFormatting>
  <conditionalFormatting sqref="V14">
    <cfRule type="cellIs" dxfId="0" priority="46" operator="greaterThan">
      <formula>0</formula>
    </cfRule>
  </conditionalFormatting>
  <conditionalFormatting sqref="V14">
    <cfRule type="cellIs" dxfId="0" priority="47" operator="greaterThan">
      <formula>0</formula>
    </cfRule>
  </conditionalFormatting>
  <conditionalFormatting sqref="V14">
    <cfRule type="cellIs" dxfId="0" priority="48" operator="greaterThan">
      <formula>0</formula>
    </cfRule>
  </conditionalFormatting>
  <conditionalFormatting sqref="T14">
    <cfRule type="cellIs" dxfId="0" priority="49" operator="greaterThan">
      <formula>0</formula>
    </cfRule>
  </conditionalFormatting>
  <conditionalFormatting sqref="T14">
    <cfRule type="cellIs" dxfId="0" priority="50" operator="greaterThan">
      <formula>0</formula>
    </cfRule>
  </conditionalFormatting>
  <conditionalFormatting sqref="O14">
    <cfRule type="cellIs" dxfId="0" priority="51" operator="greaterThan">
      <formula>0</formula>
    </cfRule>
  </conditionalFormatting>
  <conditionalFormatting sqref="O14">
    <cfRule type="cellIs" dxfId="0" priority="52" operator="greaterThan">
      <formula>0</formula>
    </cfRule>
  </conditionalFormatting>
  <conditionalFormatting sqref="O14">
    <cfRule type="cellIs" dxfId="0" priority="53" operator="greaterThan">
      <formula>0</formula>
    </cfRule>
  </conditionalFormatting>
  <conditionalFormatting sqref="U14 W14:Z14">
    <cfRule type="cellIs" dxfId="0" priority="54" operator="greaterThan">
      <formula>0</formula>
    </cfRule>
  </conditionalFormatting>
  <conditionalFormatting sqref="U14">
    <cfRule type="cellIs" dxfId="0" priority="55" operator="greaterThan">
      <formula>0</formula>
    </cfRule>
  </conditionalFormatting>
  <conditionalFormatting sqref="V14">
    <cfRule type="cellIs" dxfId="0" priority="56" operator="greaterThan">
      <formula>0</formula>
    </cfRule>
  </conditionalFormatting>
  <conditionalFormatting sqref="X14:Z14">
    <cfRule type="cellIs" dxfId="0" priority="57" operator="greaterThan">
      <formula>0</formula>
    </cfRule>
  </conditionalFormatting>
  <conditionalFormatting sqref="U14 W14:Z14">
    <cfRule type="cellIs" dxfId="0" priority="58" operator="greaterThan">
      <formula>0</formula>
    </cfRule>
  </conditionalFormatting>
  <conditionalFormatting sqref="L11">
    <cfRule type="cellIs" dxfId="0" priority="59" operator="greaterThan">
      <formula>0</formula>
    </cfRule>
  </conditionalFormatting>
  <conditionalFormatting sqref="L11">
    <cfRule type="cellIs" dxfId="0" priority="60" operator="greaterThan">
      <formula>0</formula>
    </cfRule>
  </conditionalFormatting>
  <conditionalFormatting sqref="M34:M35">
    <cfRule type="cellIs" dxfId="0" priority="61" operator="greaterThan">
      <formula>0</formula>
    </cfRule>
  </conditionalFormatting>
  <conditionalFormatting sqref="L34:L35">
    <cfRule type="cellIs" dxfId="0" priority="62" operator="greaterThan">
      <formula>0</formula>
    </cfRule>
  </conditionalFormatting>
  <conditionalFormatting sqref="K34:K35">
    <cfRule type="cellIs" dxfId="0" priority="63" operator="greaterThan">
      <formula>0</formula>
    </cfRule>
  </conditionalFormatting>
  <conditionalFormatting sqref="J33">
    <cfRule type="cellIs" dxfId="0" priority="64" operator="greaterThan">
      <formula>0</formula>
    </cfRule>
  </conditionalFormatting>
  <conditionalFormatting sqref="L11">
    <cfRule type="cellIs" dxfId="0" priority="65" operator="greaterThan">
      <formula>0</formula>
    </cfRule>
  </conditionalFormatting>
  <conditionalFormatting sqref="F36:G36 I36:L36">
    <cfRule type="cellIs" dxfId="0" priority="66" operator="greaterThan">
      <formula>0</formula>
    </cfRule>
  </conditionalFormatting>
  <conditionalFormatting sqref="M33">
    <cfRule type="cellIs" dxfId="0" priority="67" operator="greaterThan">
      <formula>0</formula>
    </cfRule>
  </conditionalFormatting>
  <conditionalFormatting sqref="M34:M35">
    <cfRule type="cellIs" dxfId="0" priority="68" operator="greaterThan">
      <formula>0</formula>
    </cfRule>
  </conditionalFormatting>
  <conditionalFormatting sqref="F32:K32">
    <cfRule type="cellIs" dxfId="0" priority="69" operator="greaterThan">
      <formula>0</formula>
    </cfRule>
  </conditionalFormatting>
  <conditionalFormatting sqref="L33">
    <cfRule type="cellIs" dxfId="0" priority="70" operator="greaterThan">
      <formula>0</formula>
    </cfRule>
  </conditionalFormatting>
  <conditionalFormatting sqref="M36">
    <cfRule type="cellIs" dxfId="0" priority="71" operator="greaterThan">
      <formula>0</formula>
    </cfRule>
  </conditionalFormatting>
  <conditionalFormatting sqref="M36">
    <cfRule type="cellIs" dxfId="0" priority="72" operator="greaterThan">
      <formula>0</formula>
    </cfRule>
  </conditionalFormatting>
  <conditionalFormatting sqref="K33">
    <cfRule type="cellIs" dxfId="0" priority="73" operator="greaterThan">
      <formula>0</formula>
    </cfRule>
  </conditionalFormatting>
  <conditionalFormatting sqref="J33">
    <cfRule type="cellIs" dxfId="0" priority="74" operator="greaterThan">
      <formula>0</formula>
    </cfRule>
  </conditionalFormatting>
  <conditionalFormatting sqref="L31">
    <cfRule type="cellIs" dxfId="0" priority="75" operator="greaterThan">
      <formula>0</formula>
    </cfRule>
  </conditionalFormatting>
  <conditionalFormatting sqref="L31:M31">
    <cfRule type="cellIs" dxfId="0" priority="76" operator="greaterThan">
      <formula>0</formula>
    </cfRule>
  </conditionalFormatting>
  <conditionalFormatting sqref="F31:K31">
    <cfRule type="cellIs" dxfId="0" priority="77" operator="greaterThan">
      <formula>0</formula>
    </cfRule>
  </conditionalFormatting>
  <conditionalFormatting sqref="L32:M32">
    <cfRule type="cellIs" dxfId="0" priority="78" operator="greaterThan">
      <formula>0</formula>
    </cfRule>
  </conditionalFormatting>
  <conditionalFormatting sqref="F34:K35 M34:M35">
    <cfRule type="cellIs" dxfId="0" priority="79" operator="greaterThan">
      <formula>0</formula>
    </cfRule>
  </conditionalFormatting>
  <conditionalFormatting sqref="M36">
    <cfRule type="cellIs" dxfId="0" priority="80" operator="greaterThan">
      <formula>0</formula>
    </cfRule>
  </conditionalFormatting>
  <conditionalFormatting sqref="G36:I36">
    <cfRule type="cellIs" dxfId="0" priority="81" operator="greaterThan">
      <formula>0</formula>
    </cfRule>
  </conditionalFormatting>
  <conditionalFormatting sqref="F33:I33">
    <cfRule type="cellIs" dxfId="0" priority="82" operator="greaterThan">
      <formula>0</formula>
    </cfRule>
  </conditionalFormatting>
  <conditionalFormatting sqref="F33:J33">
    <cfRule type="cellIs" dxfId="0" priority="83" operator="greaterThan">
      <formula>0</formula>
    </cfRule>
  </conditionalFormatting>
  <conditionalFormatting sqref="K33">
    <cfRule type="cellIs" dxfId="0" priority="84" operator="greaterThan">
      <formula>0</formula>
    </cfRule>
  </conditionalFormatting>
  <conditionalFormatting sqref="J33">
    <cfRule type="cellIs" dxfId="0" priority="85" operator="greaterThan">
      <formula>0</formula>
    </cfRule>
  </conditionalFormatting>
  <conditionalFormatting sqref="I33">
    <cfRule type="cellIs" dxfId="0" priority="86" operator="greaterThan">
      <formula>0</formula>
    </cfRule>
  </conditionalFormatting>
  <conditionalFormatting sqref="K31">
    <cfRule type="cellIs" dxfId="0" priority="87" operator="greaterThan">
      <formula>0</formula>
    </cfRule>
  </conditionalFormatting>
  <conditionalFormatting sqref="K31">
    <cfRule type="cellIs" dxfId="0" priority="88" operator="greaterThan">
      <formula>0</formula>
    </cfRule>
  </conditionalFormatting>
  <conditionalFormatting sqref="K32">
    <cfRule type="cellIs" dxfId="0" priority="89" operator="greaterThan">
      <formula>0</formula>
    </cfRule>
  </conditionalFormatting>
  <conditionalFormatting sqref="I33">
    <cfRule type="cellIs" dxfId="0" priority="90" operator="greaterThan">
      <formula>0</formula>
    </cfRule>
  </conditionalFormatting>
  <conditionalFormatting sqref="T12:T13">
    <cfRule type="cellIs" dxfId="0" priority="91" operator="greaterThan">
      <formula>0</formula>
    </cfRule>
  </conditionalFormatting>
  <conditionalFormatting sqref="P12:S13">
    <cfRule type="cellIs" dxfId="0" priority="92" operator="greaterThan">
      <formula>0</formula>
    </cfRule>
  </conditionalFormatting>
  <conditionalFormatting sqref="P12:S13">
    <cfRule type="cellIs" dxfId="0" priority="93" operator="greaterThan">
      <formula>0</formula>
    </cfRule>
  </conditionalFormatting>
  <conditionalFormatting sqref="V12:V13">
    <cfRule type="cellIs" dxfId="0" priority="94" operator="greaterThan">
      <formula>0</formula>
    </cfRule>
  </conditionalFormatting>
  <conditionalFormatting sqref="E12:E13">
    <cfRule type="cellIs" dxfId="0" priority="95" operator="greaterThan">
      <formula>0</formula>
    </cfRule>
  </conditionalFormatting>
  <conditionalFormatting sqref="P8">
    <cfRule type="cellIs" dxfId="0" priority="96" operator="greaterThan">
      <formula>0</formula>
    </cfRule>
  </conditionalFormatting>
  <conditionalFormatting sqref="P9">
    <cfRule type="cellIs" dxfId="0" priority="97" operator="greaterThan">
      <formula>0</formula>
    </cfRule>
  </conditionalFormatting>
  <conditionalFormatting sqref="V12:V13">
    <cfRule type="cellIs" dxfId="0" priority="98" operator="greaterThan">
      <formula>0</formula>
    </cfRule>
  </conditionalFormatting>
  <conditionalFormatting sqref="F11:J11">
    <cfRule type="cellIs" dxfId="0" priority="99" operator="greaterThan">
      <formula>0</formula>
    </cfRule>
  </conditionalFormatting>
  <conditionalFormatting sqref="K11">
    <cfRule type="cellIs" dxfId="0" priority="100" operator="greaterThan">
      <formula>0</formula>
    </cfRule>
  </conditionalFormatting>
  <conditionalFormatting sqref="O12:O13">
    <cfRule type="cellIs" dxfId="0" priority="101" operator="greaterThan">
      <formula>0</formula>
    </cfRule>
  </conditionalFormatting>
  <conditionalFormatting sqref="O12:O13">
    <cfRule type="cellIs" dxfId="0" priority="102" operator="greaterThan">
      <formula>0</formula>
    </cfRule>
  </conditionalFormatting>
  <conditionalFormatting sqref="U12:U13">
    <cfRule type="cellIs" dxfId="0" priority="103" operator="greaterThan">
      <formula>0</formula>
    </cfRule>
  </conditionalFormatting>
  <conditionalFormatting sqref="V12:V13">
    <cfRule type="cellIs" dxfId="0" priority="104" operator="greaterThan">
      <formula>0</formula>
    </cfRule>
  </conditionalFormatting>
  <conditionalFormatting sqref="V12:V13">
    <cfRule type="cellIs" dxfId="0" priority="105" operator="greaterThan">
      <formula>0</formula>
    </cfRule>
  </conditionalFormatting>
  <conditionalFormatting sqref="T12:T13">
    <cfRule type="cellIs" dxfId="0" priority="106" operator="greaterThan">
      <formula>0</formula>
    </cfRule>
  </conditionalFormatting>
  <conditionalFormatting sqref="T12:T13">
    <cfRule type="cellIs" dxfId="0" priority="107" operator="greaterThan">
      <formula>0</formula>
    </cfRule>
  </conditionalFormatting>
  <conditionalFormatting sqref="U8">
    <cfRule type="cellIs" dxfId="0" priority="108" operator="greaterThan">
      <formula>0</formula>
    </cfRule>
  </conditionalFormatting>
  <conditionalFormatting sqref="J11">
    <cfRule type="cellIs" dxfId="0" priority="109" operator="greaterThan">
      <formula>0</formula>
    </cfRule>
  </conditionalFormatting>
  <conditionalFormatting sqref="Q12:S13">
    <cfRule type="cellIs" dxfId="0" priority="110" operator="greaterThan">
      <formula>0</formula>
    </cfRule>
  </conditionalFormatting>
  <conditionalFormatting sqref="O12:O13">
    <cfRule type="cellIs" dxfId="0" priority="111" operator="greaterThan">
      <formula>0</formula>
    </cfRule>
  </conditionalFormatting>
  <conditionalFormatting sqref="U12:U13">
    <cfRule type="cellIs" dxfId="0" priority="112" operator="greaterThan">
      <formula>0</formula>
    </cfRule>
  </conditionalFormatting>
  <conditionalFormatting sqref="U12:U13 W12:Z13">
    <cfRule type="cellIs" dxfId="0" priority="113" operator="greaterThan">
      <formula>0</formula>
    </cfRule>
  </conditionalFormatting>
  <conditionalFormatting sqref="O12:O13">
    <cfRule type="cellIs" dxfId="0" priority="114" operator="greaterThan">
      <formula>0</formula>
    </cfRule>
  </conditionalFormatting>
  <conditionalFormatting sqref="X12:Z13">
    <cfRule type="cellIs" dxfId="0" priority="115" operator="greaterThan">
      <formula>0</formula>
    </cfRule>
  </conditionalFormatting>
  <conditionalFormatting sqref="U12:U13 W12:Z13">
    <cfRule type="cellIs" dxfId="0" priority="116" operator="greaterThan">
      <formula>0</formula>
    </cfRule>
  </conditionalFormatting>
  <conditionalFormatting sqref="U9">
    <cfRule type="cellIs" dxfId="0" priority="117" operator="greaterThan">
      <formula>0</formula>
    </cfRule>
  </conditionalFormatting>
  <conditionalFormatting sqref="V9">
    <cfRule type="cellIs" dxfId="0" priority="118" operator="greaterThan">
      <formula>0</formula>
    </cfRule>
  </conditionalFormatting>
  <conditionalFormatting sqref="V8">
    <cfRule type="cellIs" dxfId="0" priority="119" operator="greaterThan">
      <formula>0</formula>
    </cfRule>
  </conditionalFormatting>
  <conditionalFormatting sqref="F10">
    <cfRule type="cellIs" dxfId="0" priority="120" operator="greaterThan">
      <formula>0</formula>
    </cfRule>
  </conditionalFormatting>
  <conditionalFormatting sqref="F9">
    <cfRule type="cellIs" dxfId="0" priority="121" operator="greaterThan">
      <formula>0</formula>
    </cfRule>
  </conditionalFormatting>
  <conditionalFormatting sqref="F14">
    <cfRule type="cellIs" dxfId="0" priority="122" operator="greaterThan">
      <formula>0</formula>
    </cfRule>
  </conditionalFormatting>
  <conditionalFormatting sqref="E9">
    <cfRule type="cellIs" dxfId="0" priority="123" operator="greaterThan">
      <formula>0</formula>
    </cfRule>
  </conditionalFormatting>
  <conditionalFormatting sqref="E14">
    <cfRule type="cellIs" dxfId="0" priority="124" operator="greaterThan">
      <formula>0</formula>
    </cfRule>
  </conditionalFormatting>
  <conditionalFormatting sqref="K14">
    <cfRule type="cellIs" dxfId="0" priority="125" operator="greaterThan">
      <formula>0</formula>
    </cfRule>
  </conditionalFormatting>
  <conditionalFormatting sqref="E10">
    <cfRule type="cellIs" dxfId="0" priority="126" operator="greaterThan">
      <formula>0</formula>
    </cfRule>
  </conditionalFormatting>
  <conditionalFormatting sqref="E7:N7">
    <cfRule type="cellIs" dxfId="0" priority="127" operator="greaterThan">
      <formula>0</formula>
    </cfRule>
  </conditionalFormatting>
  <conditionalFormatting sqref="E8:N8">
    <cfRule type="cellIs" dxfId="0" priority="128" operator="greaterThan">
      <formula>0</formula>
    </cfRule>
  </conditionalFormatting>
  <conditionalFormatting sqref="G9:N9">
    <cfRule type="cellIs" dxfId="0" priority="129" operator="greaterThan">
      <formula>0</formula>
    </cfRule>
  </conditionalFormatting>
  <conditionalFormatting sqref="G10:N10">
    <cfRule type="cellIs" dxfId="0" priority="130" operator="greaterThan">
      <formula>0</formula>
    </cfRule>
  </conditionalFormatting>
  <conditionalFormatting sqref="H14">
    <cfRule type="cellIs" dxfId="0" priority="131" operator="greaterThan">
      <formula>0</formula>
    </cfRule>
  </conditionalFormatting>
  <conditionalFormatting sqref="G14">
    <cfRule type="cellIs" dxfId="0" priority="132" operator="greaterThan">
      <formula>0</formula>
    </cfRule>
  </conditionalFormatting>
  <conditionalFormatting sqref="I14">
    <cfRule type="cellIs" dxfId="0" priority="133" operator="greaterThan">
      <formula>0</formula>
    </cfRule>
  </conditionalFormatting>
  <conditionalFormatting sqref="J14">
    <cfRule type="cellIs" dxfId="0" priority="134" operator="greaterThan">
      <formula>0</formula>
    </cfRule>
  </conditionalFormatting>
  <conditionalFormatting sqref="M14">
    <cfRule type="cellIs" dxfId="0" priority="135" operator="greaterThan">
      <formula>0</formula>
    </cfRule>
  </conditionalFormatting>
  <conditionalFormatting sqref="L14">
    <cfRule type="cellIs" dxfId="0" priority="136" operator="greaterThan">
      <formula>0</formula>
    </cfRule>
  </conditionalFormatting>
  <conditionalFormatting sqref="N14">
    <cfRule type="cellIs" dxfId="0" priority="137" operator="greaterThan">
      <formula>0</formula>
    </cfRule>
  </conditionalFormatting>
  <conditionalFormatting sqref="F12:F13">
    <cfRule type="cellIs" dxfId="0" priority="138" operator="greaterThan">
      <formula>0</formula>
    </cfRule>
  </conditionalFormatting>
  <conditionalFormatting sqref="G12:G13">
    <cfRule type="cellIs" dxfId="0" priority="139" operator="greaterThan">
      <formula>0</formula>
    </cfRule>
  </conditionalFormatting>
  <conditionalFormatting sqref="H12:H13">
    <cfRule type="cellIs" dxfId="0" priority="140" operator="greaterThan">
      <formula>0</formula>
    </cfRule>
  </conditionalFormatting>
  <conditionalFormatting sqref="I12:I13">
    <cfRule type="cellIs" dxfId="0" priority="141" operator="greaterThan">
      <formula>0</formula>
    </cfRule>
  </conditionalFormatting>
  <conditionalFormatting sqref="J12:J13">
    <cfRule type="cellIs" dxfId="0" priority="142" operator="greaterThan">
      <formula>0</formula>
    </cfRule>
  </conditionalFormatting>
  <conditionalFormatting sqref="K12:K13">
    <cfRule type="cellIs" dxfId="0" priority="143" operator="greaterThan">
      <formula>0</formula>
    </cfRule>
  </conditionalFormatting>
  <conditionalFormatting sqref="L12:L13">
    <cfRule type="cellIs" dxfId="0" priority="144" operator="greaterThan">
      <formula>0</formula>
    </cfRule>
  </conditionalFormatting>
  <conditionalFormatting sqref="M12:M13">
    <cfRule type="cellIs" dxfId="0" priority="145" operator="greaterThan">
      <formula>0</formula>
    </cfRule>
  </conditionalFormatting>
  <conditionalFormatting sqref="N12:N13">
    <cfRule type="cellIs" dxfId="0" priority="146" operator="greaterThan">
      <formula>0</formula>
    </cfRule>
  </conditionalFormatting>
  <conditionalFormatting sqref="E11">
    <cfRule type="cellIs" dxfId="0" priority="147" operator="greaterThan">
      <formula>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3.71"/>
    <col customWidth="1" min="2" max="2" width="9.29"/>
    <col customWidth="1" min="3" max="3" width="47.71"/>
    <col customWidth="1" min="4" max="4" width="11.14"/>
    <col customWidth="1" min="5" max="5" width="12.86"/>
    <col customWidth="1" min="6" max="24" width="12.0"/>
    <col customWidth="1" min="25" max="28" width="10.71"/>
    <col customWidth="1" min="29" max="33" width="11.57"/>
    <col customWidth="1" min="34" max="35" width="9.14"/>
  </cols>
  <sheetData>
    <row r="1">
      <c r="A1" s="79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5"/>
      <c r="AI1" s="77"/>
    </row>
    <row r="2">
      <c r="A2" s="79"/>
      <c r="B2" s="80"/>
      <c r="C2" s="80"/>
      <c r="D2" s="80"/>
      <c r="E2" s="81" t="s">
        <v>52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3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75"/>
      <c r="AI2" s="77"/>
    </row>
    <row r="3" ht="15.0" customHeight="1">
      <c r="A3" s="79"/>
      <c r="B3" s="85" t="s">
        <v>53</v>
      </c>
      <c r="C3" s="86" t="s">
        <v>54</v>
      </c>
      <c r="D3" s="86" t="s">
        <v>55</v>
      </c>
      <c r="E3" s="87" t="s">
        <v>56</v>
      </c>
      <c r="F3" s="88">
        <f>'Resource Plan - Approved'!E4</f>
        <v>43675</v>
      </c>
      <c r="G3" s="88">
        <f>'Resource Plan - Approved'!F4</f>
        <v>43682</v>
      </c>
      <c r="H3" s="88">
        <f>'Resource Plan - Approved'!G4</f>
        <v>43689</v>
      </c>
      <c r="I3" s="88">
        <f>'Resource Plan - Approved'!H4</f>
        <v>43696</v>
      </c>
      <c r="J3" s="88">
        <f>'Resource Plan - Approved'!I4</f>
        <v>43703</v>
      </c>
      <c r="K3" s="88">
        <f>'Resource Plan - Approved'!J4</f>
        <v>43710</v>
      </c>
      <c r="L3" s="88">
        <f>'Resource Plan - Approved'!K4</f>
        <v>43717</v>
      </c>
      <c r="M3" s="88">
        <f>'Resource Plan - Approved'!L4</f>
        <v>43724</v>
      </c>
      <c r="N3" s="88">
        <f>'Resource Plan - Approved'!M4</f>
        <v>43731</v>
      </c>
      <c r="O3" s="88">
        <f>'Resource Plan - Approved'!N4</f>
        <v>43738</v>
      </c>
      <c r="P3" s="88">
        <f>'Resource Plan - Approved'!O4</f>
        <v>43745</v>
      </c>
      <c r="Q3" s="88">
        <f>'Resource Plan - Approved'!P4</f>
        <v>43752</v>
      </c>
      <c r="R3" s="88">
        <f>'Resource Plan - Approved'!Q4</f>
        <v>43759</v>
      </c>
      <c r="S3" s="88">
        <f>'Resource Plan - Approved'!R4</f>
        <v>43766</v>
      </c>
      <c r="T3" s="88">
        <f>'Resource Plan - Approved'!S4</f>
        <v>43773</v>
      </c>
      <c r="U3" s="88">
        <f>'Resource Plan - Approved'!T4</f>
        <v>43780</v>
      </c>
      <c r="V3" s="88">
        <f>'Resource Plan - Approved'!U4</f>
        <v>43787</v>
      </c>
      <c r="W3" s="88">
        <f>'Resource Plan - Approved'!V4</f>
        <v>43794</v>
      </c>
      <c r="X3" s="88">
        <f>'Resource Plan - Approved'!W4</f>
        <v>43801</v>
      </c>
      <c r="Y3" s="88">
        <f>'Resource Plan - Approved'!X4</f>
        <v>43808</v>
      </c>
      <c r="Z3" s="88">
        <f>'Resource Plan - Approved'!S4</f>
        <v>43773</v>
      </c>
      <c r="AA3" s="88">
        <f>'Resource Plan - Approved'!T4</f>
        <v>43780</v>
      </c>
      <c r="AB3" s="88">
        <f>'Resource Plan - Approved'!U4</f>
        <v>43787</v>
      </c>
      <c r="AC3" s="88">
        <f>'Resource Plan - Approved'!V4</f>
        <v>43794</v>
      </c>
      <c r="AD3" s="88">
        <f>'Resource Plan - Approved'!W4</f>
        <v>43801</v>
      </c>
      <c r="AE3" s="88">
        <f>'Resource Plan - Approved'!X4</f>
        <v>43808</v>
      </c>
      <c r="AF3" s="88">
        <f>'Resource Plan - Approved'!Y4</f>
        <v>43815</v>
      </c>
      <c r="AG3" s="88">
        <f>'Resource Plan - Approved'!Z4</f>
        <v>43822</v>
      </c>
      <c r="AH3" s="75"/>
      <c r="AI3" s="77"/>
    </row>
    <row r="4">
      <c r="A4" s="79"/>
      <c r="B4" s="89"/>
      <c r="C4" s="89"/>
      <c r="D4" s="89"/>
      <c r="E4" s="90"/>
      <c r="F4" s="91" t="str">
        <f>'Resource Plan - Approved'!E5</f>
        <v>DEV</v>
      </c>
      <c r="G4" s="91" t="str">
        <f>'Resource Plan - Approved'!F5</f>
        <v>DEV</v>
      </c>
      <c r="H4" s="91" t="str">
        <f>'Resource Plan - Approved'!G5</f>
        <v>UAT</v>
      </c>
      <c r="I4" s="91" t="str">
        <f>'Resource Plan - Approved'!H5</f>
        <v>UAT</v>
      </c>
      <c r="J4" s="91" t="str">
        <f>'Resource Plan - Approved'!I5</f>
        <v>TTT</v>
      </c>
      <c r="K4" s="91" t="str">
        <f>'Resource Plan - Approved'!J5</f>
        <v>REL</v>
      </c>
      <c r="L4" s="91" t="str">
        <f>'Resource Plan - Approved'!K5</f>
        <v>SS</v>
      </c>
      <c r="M4" s="91" t="str">
        <f>'Resource Plan - Approved'!L5</f>
        <v>SS</v>
      </c>
      <c r="N4" s="91" t="str">
        <f>'Resource Plan - Approved'!M5</f>
        <v>SS</v>
      </c>
      <c r="O4" s="91" t="str">
        <f>'Resource Plan - Approved'!N5</f>
        <v>SS</v>
      </c>
      <c r="P4" s="91" t="str">
        <f>'Resource Plan - Approved'!O5</f>
        <v>PFS11</v>
      </c>
      <c r="Q4" s="91" t="str">
        <f>'Resource Plan - Approved'!P5</f>
        <v>PFS12</v>
      </c>
      <c r="R4" s="91" t="str">
        <f>'Resource Plan - Approved'!Q5</f>
        <v>PFS13</v>
      </c>
      <c r="S4" s="91" t="str">
        <f>'Resource Plan - Approved'!R5</f>
        <v>PFS14</v>
      </c>
      <c r="T4" s="91" t="str">
        <f>'Resource Plan - Approved'!S5</f>
        <v>PFS15</v>
      </c>
      <c r="U4" s="91" t="str">
        <f>'Resource Plan - Approved'!T5</f>
        <v>WK22</v>
      </c>
      <c r="V4" s="91" t="str">
        <f>'Resource Plan - Approved'!U5</f>
        <v>WK23</v>
      </c>
      <c r="W4" s="91" t="str">
        <f>'Resource Plan - Approved'!P5</f>
        <v>PFS12</v>
      </c>
      <c r="X4" s="91" t="str">
        <f>'Resource Plan - Approved'!Q5</f>
        <v>PFS13</v>
      </c>
      <c r="Y4" s="91" t="str">
        <f>'Resource Plan - Approved'!R5</f>
        <v>PFS14</v>
      </c>
      <c r="Z4" s="91" t="str">
        <f>'Resource Plan - Approved'!S5</f>
        <v>PFS15</v>
      </c>
      <c r="AA4" s="91" t="str">
        <f>'Resource Plan - Approved'!T5</f>
        <v>WK22</v>
      </c>
      <c r="AB4" s="91" t="str">
        <f>'Resource Plan - Approved'!U5</f>
        <v>WK23</v>
      </c>
      <c r="AC4" s="91" t="str">
        <f>'Resource Plan - Approved'!V5</f>
        <v>WK24</v>
      </c>
      <c r="AD4" s="91" t="str">
        <f>'Resource Plan - Approved'!W5</f>
        <v>WK25</v>
      </c>
      <c r="AE4" s="91" t="str">
        <f>'Resource Plan - Approved'!X5</f>
        <v>WK26</v>
      </c>
      <c r="AF4" s="91" t="str">
        <f>'Resource Plan - Approved'!Y5</f>
        <v>WK27</v>
      </c>
      <c r="AG4" s="91" t="str">
        <f>'Resource Plan - Approved'!Z5</f>
        <v>WK28</v>
      </c>
      <c r="AH4" s="75"/>
      <c r="AI4" s="77"/>
    </row>
    <row r="5">
      <c r="A5" s="79"/>
      <c r="B5" s="92">
        <v>1.0</v>
      </c>
      <c r="C5" s="77" t="s">
        <v>57</v>
      </c>
      <c r="D5" s="93">
        <v>165.0</v>
      </c>
      <c r="E5" s="94">
        <f>SUM(F5:V5)*Hourly_Rate</f>
        <v>19800</v>
      </c>
      <c r="F5" s="77">
        <f>'Resource Plan - Approved'!E7+'Resource Plan - Approved'!E8</f>
        <v>12</v>
      </c>
      <c r="G5" s="77">
        <f>'Resource Plan - Approved'!F7+'Resource Plan - Approved'!F8</f>
        <v>12</v>
      </c>
      <c r="H5" s="77">
        <f>'Resource Plan - Approved'!G7+'Resource Plan - Approved'!G8</f>
        <v>12</v>
      </c>
      <c r="I5" s="77">
        <f>'Resource Plan - Approved'!H7+'Resource Plan - Approved'!H8</f>
        <v>12</v>
      </c>
      <c r="J5" s="77">
        <f>'Resource Plan - Approved'!I7+'Resource Plan - Approved'!I8</f>
        <v>12</v>
      </c>
      <c r="K5" s="77">
        <f>'Resource Plan - Approved'!J7+'Resource Plan - Approved'!J8</f>
        <v>12</v>
      </c>
      <c r="L5" s="77">
        <f>'Resource Plan - Approved'!K7+'Resource Plan - Approved'!K8</f>
        <v>12</v>
      </c>
      <c r="M5" s="77">
        <f>'Resource Plan - Approved'!L7+'Resource Plan - Approved'!L8</f>
        <v>12</v>
      </c>
      <c r="N5" s="77">
        <f>'Resource Plan - Approved'!M7+'Resource Plan - Approved'!M8</f>
        <v>12</v>
      </c>
      <c r="O5" s="77">
        <f>'Resource Plan - Approved'!N7+'Resource Plan - Approved'!N8</f>
        <v>12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>
        <f t="shared" ref="AH5:AH9" si="1">SUM(F5:T5)</f>
        <v>120</v>
      </c>
      <c r="AI5" s="77" t="s">
        <v>58</v>
      </c>
    </row>
    <row r="6">
      <c r="A6" s="79"/>
      <c r="B6" s="92">
        <f t="shared" ref="B6:B8" si="2">B5+1</f>
        <v>2</v>
      </c>
      <c r="C6" s="2" t="s">
        <v>59</v>
      </c>
      <c r="D6" s="93">
        <v>165.0</v>
      </c>
      <c r="E6" s="94">
        <v>16800.0</v>
      </c>
      <c r="F6" s="77">
        <f>'Resource Plan - Approved'!E9+'Resource Plan - Approved'!E11+'Resource Plan - Approved'!E13</f>
        <v>18</v>
      </c>
      <c r="G6" s="77">
        <f>'Resource Plan - Approved'!F9+'Resource Plan - Approved'!F11+'Resource Plan - Approved'!F13</f>
        <v>40</v>
      </c>
      <c r="H6" s="77">
        <f>'Resource Plan - Approved'!G9+'Resource Plan - Approved'!G11+'Resource Plan - Approved'!G13</f>
        <v>30</v>
      </c>
      <c r="I6" s="77">
        <f>'Resource Plan - Approved'!H9+'Resource Plan - Approved'!H11+'Resource Plan - Approved'!H13</f>
        <v>20</v>
      </c>
      <c r="J6" s="77">
        <f>'Resource Plan - Approved'!I9+'Resource Plan - Approved'!I11+'Resource Plan - Approved'!I13</f>
        <v>20</v>
      </c>
      <c r="K6" s="77">
        <f>'Resource Plan - Approved'!J9+'Resource Plan - Approved'!J11+'Resource Plan - Approved'!J13</f>
        <v>10</v>
      </c>
      <c r="L6" s="77">
        <f>'Resource Plan - Approved'!K9+'Resource Plan - Approved'!K11+'Resource Plan - Approved'!K13</f>
        <v>10</v>
      </c>
      <c r="M6" s="77">
        <f>'Resource Plan - Approved'!L9+'Resource Plan - Approved'!L11+'Resource Plan - Approved'!L13</f>
        <v>10</v>
      </c>
      <c r="N6" s="77">
        <f>'Resource Plan - Approved'!M9+'Resource Plan - Approved'!M11+'Resource Plan - Approved'!M13</f>
        <v>10</v>
      </c>
      <c r="O6" s="77">
        <f>'Resource Plan - Approved'!N9+'Resource Plan - Approved'!N11+'Resource Plan - Approved'!N13</f>
        <v>10</v>
      </c>
      <c r="P6" s="77"/>
      <c r="Q6" s="77"/>
      <c r="R6" s="77"/>
      <c r="S6" s="77"/>
      <c r="T6" s="77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77">
        <f t="shared" si="1"/>
        <v>178</v>
      </c>
      <c r="AI6" s="77" t="s">
        <v>58</v>
      </c>
    </row>
    <row r="7">
      <c r="A7" s="79"/>
      <c r="B7" s="92">
        <f t="shared" si="2"/>
        <v>3</v>
      </c>
      <c r="C7" s="2" t="s">
        <v>60</v>
      </c>
      <c r="D7" s="93">
        <v>165.0</v>
      </c>
      <c r="E7" s="94">
        <v>45200.0</v>
      </c>
      <c r="F7" s="77">
        <f>'Resource Plan - Approved'!E10+'Resource Plan - Approved'!E14</f>
        <v>20</v>
      </c>
      <c r="G7" s="77">
        <f>'Resource Plan - Approved'!F10+'Resource Plan - Approved'!F14</f>
        <v>30</v>
      </c>
      <c r="H7" s="77">
        <f>'Resource Plan - Approved'!G10+'Resource Plan - Approved'!G14</f>
        <v>20</v>
      </c>
      <c r="I7" s="77">
        <f>'Resource Plan - Approved'!H10+'Resource Plan - Approved'!H14</f>
        <v>20</v>
      </c>
      <c r="J7" s="77">
        <f>'Resource Plan - Approved'!I10+'Resource Plan - Approved'!I14</f>
        <v>20</v>
      </c>
      <c r="K7" s="77">
        <f>'Resource Plan - Approved'!J10+'Resource Plan - Approved'!J14</f>
        <v>20</v>
      </c>
      <c r="L7" s="77">
        <f>'Resource Plan - Approved'!K10+'Resource Plan - Approved'!K14</f>
        <v>20</v>
      </c>
      <c r="M7" s="77">
        <f>'Resource Plan - Approved'!L10+'Resource Plan - Approved'!L14</f>
        <v>20</v>
      </c>
      <c r="N7" s="77">
        <f>'Resource Plan - Approved'!M10+'Resource Plan - Approved'!M14</f>
        <v>20</v>
      </c>
      <c r="O7" s="77">
        <f>'Resource Plan - Approved'!N10+'Resource Plan - Approved'!N14</f>
        <v>20</v>
      </c>
      <c r="P7" s="77"/>
      <c r="Q7" s="77"/>
      <c r="R7" s="77"/>
      <c r="S7" s="77"/>
      <c r="T7" s="77"/>
      <c r="U7" s="77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77">
        <f t="shared" si="1"/>
        <v>210</v>
      </c>
      <c r="AI7" s="77"/>
    </row>
    <row r="8">
      <c r="A8" s="79"/>
      <c r="B8" s="92">
        <f t="shared" si="2"/>
        <v>4</v>
      </c>
      <c r="C8" s="2" t="s">
        <v>61</v>
      </c>
      <c r="D8" s="93">
        <v>165.0</v>
      </c>
      <c r="E8" s="94">
        <f>SUM(F8:V8)*Hourly_Rate</f>
        <v>17160</v>
      </c>
      <c r="F8" s="77">
        <f>'Resource Plan - Approved'!E12</f>
        <v>8</v>
      </c>
      <c r="G8" s="77">
        <f>'Resource Plan - Approved'!F12</f>
        <v>16</v>
      </c>
      <c r="H8" s="77">
        <f>'Resource Plan - Approved'!G12</f>
        <v>16</v>
      </c>
      <c r="I8" s="77">
        <f>'Resource Plan - Approved'!H12</f>
        <v>16</v>
      </c>
      <c r="J8" s="77">
        <f>'Resource Plan - Approved'!I12</f>
        <v>32</v>
      </c>
      <c r="K8" s="77">
        <f>'Resource Plan - Approved'!J12</f>
        <v>8</v>
      </c>
      <c r="L8" s="77">
        <f>'Resource Plan - Approved'!K12</f>
        <v>8</v>
      </c>
      <c r="M8" s="77" t="str">
        <f>'Resource Plan - Approved'!L12</f>
        <v/>
      </c>
      <c r="N8" s="77" t="str">
        <f>'Resource Plan - Approved'!M12</f>
        <v/>
      </c>
      <c r="O8" s="77" t="str">
        <f>'Resource Plan - Approved'!N12</f>
        <v/>
      </c>
      <c r="P8" s="77"/>
      <c r="Q8" s="77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77">
        <f t="shared" si="1"/>
        <v>104</v>
      </c>
      <c r="AI8" s="77" t="s">
        <v>58</v>
      </c>
    </row>
    <row r="9">
      <c r="A9" s="79"/>
      <c r="B9" s="96"/>
      <c r="C9" s="97" t="s">
        <v>62</v>
      </c>
      <c r="D9" s="97"/>
      <c r="E9" s="98">
        <f>SUM(F9:P9)</f>
        <v>612</v>
      </c>
      <c r="F9" s="99">
        <f t="shared" ref="F9:AG9" si="3">SUM(F5:F8)</f>
        <v>58</v>
      </c>
      <c r="G9" s="99">
        <f t="shared" si="3"/>
        <v>98</v>
      </c>
      <c r="H9" s="99">
        <f t="shared" si="3"/>
        <v>78</v>
      </c>
      <c r="I9" s="99">
        <f t="shared" si="3"/>
        <v>68</v>
      </c>
      <c r="J9" s="99">
        <f t="shared" si="3"/>
        <v>84</v>
      </c>
      <c r="K9" s="99">
        <f t="shared" si="3"/>
        <v>50</v>
      </c>
      <c r="L9" s="99">
        <f t="shared" si="3"/>
        <v>50</v>
      </c>
      <c r="M9" s="99">
        <f t="shared" si="3"/>
        <v>42</v>
      </c>
      <c r="N9" s="99">
        <f t="shared" si="3"/>
        <v>42</v>
      </c>
      <c r="O9" s="99">
        <f t="shared" si="3"/>
        <v>42</v>
      </c>
      <c r="P9" s="99">
        <f t="shared" si="3"/>
        <v>0</v>
      </c>
      <c r="Q9" s="99">
        <f t="shared" si="3"/>
        <v>0</v>
      </c>
      <c r="R9" s="99">
        <f t="shared" si="3"/>
        <v>0</v>
      </c>
      <c r="S9" s="99">
        <f t="shared" si="3"/>
        <v>0</v>
      </c>
      <c r="T9" s="99">
        <f t="shared" si="3"/>
        <v>0</v>
      </c>
      <c r="U9" s="99">
        <f t="shared" si="3"/>
        <v>0</v>
      </c>
      <c r="V9" s="99">
        <f t="shared" si="3"/>
        <v>0</v>
      </c>
      <c r="W9" s="99">
        <f t="shared" si="3"/>
        <v>0</v>
      </c>
      <c r="X9" s="99">
        <f t="shared" si="3"/>
        <v>0</v>
      </c>
      <c r="Y9" s="99">
        <f t="shared" si="3"/>
        <v>0</v>
      </c>
      <c r="Z9" s="99">
        <f t="shared" si="3"/>
        <v>0</v>
      </c>
      <c r="AA9" s="99">
        <f t="shared" si="3"/>
        <v>0</v>
      </c>
      <c r="AB9" s="99">
        <f t="shared" si="3"/>
        <v>0</v>
      </c>
      <c r="AC9" s="99">
        <f t="shared" si="3"/>
        <v>0</v>
      </c>
      <c r="AD9" s="99">
        <f t="shared" si="3"/>
        <v>0</v>
      </c>
      <c r="AE9" s="99">
        <f t="shared" si="3"/>
        <v>0</v>
      </c>
      <c r="AF9" s="99">
        <f t="shared" si="3"/>
        <v>0</v>
      </c>
      <c r="AG9" s="99">
        <f t="shared" si="3"/>
        <v>0</v>
      </c>
      <c r="AH9" s="77">
        <f t="shared" si="1"/>
        <v>612</v>
      </c>
      <c r="AI9" s="77"/>
    </row>
    <row r="10">
      <c r="A10" s="79"/>
      <c r="B10" s="96" t="s">
        <v>63</v>
      </c>
      <c r="C10" s="97" t="s">
        <v>64</v>
      </c>
      <c r="D10" s="97"/>
      <c r="E10" s="100">
        <f>E9*Hourly_Rate</f>
        <v>100980</v>
      </c>
      <c r="F10" s="101">
        <f>(SUM(F5:F8)*(Hourly_Rate))</f>
        <v>9570</v>
      </c>
      <c r="G10" s="101">
        <f>(SUM(G5:G8)*(Hourly_Rate))</f>
        <v>16170</v>
      </c>
      <c r="H10" s="101">
        <f>(SUM(H5:H8)*(Hourly_Rate))</f>
        <v>12870</v>
      </c>
      <c r="I10" s="101">
        <f>(SUM(I5:I8)*(Hourly_Rate))</f>
        <v>11220</v>
      </c>
      <c r="J10" s="101">
        <f>(SUM(J5:J8)*(Hourly_Rate))</f>
        <v>13860</v>
      </c>
      <c r="K10" s="101">
        <f>(SUM(K5:K8)*(Hourly_Rate))</f>
        <v>8250</v>
      </c>
      <c r="L10" s="101">
        <f>(SUM(L5:L8)*(Hourly_Rate))</f>
        <v>8250</v>
      </c>
      <c r="M10" s="101">
        <f>(SUM(M5:M8)*(Hourly_Rate))</f>
        <v>6930</v>
      </c>
      <c r="N10" s="101">
        <f t="shared" ref="N10:AG10" si="4">SUM(N9*165)</f>
        <v>6930</v>
      </c>
      <c r="O10" s="101">
        <f t="shared" si="4"/>
        <v>6930</v>
      </c>
      <c r="P10" s="101">
        <f t="shared" si="4"/>
        <v>0</v>
      </c>
      <c r="Q10" s="101">
        <f t="shared" si="4"/>
        <v>0</v>
      </c>
      <c r="R10" s="101">
        <f t="shared" si="4"/>
        <v>0</v>
      </c>
      <c r="S10" s="101">
        <f t="shared" si="4"/>
        <v>0</v>
      </c>
      <c r="T10" s="101">
        <f t="shared" si="4"/>
        <v>0</v>
      </c>
      <c r="U10" s="101">
        <f t="shared" si="4"/>
        <v>0</v>
      </c>
      <c r="V10" s="101">
        <f t="shared" si="4"/>
        <v>0</v>
      </c>
      <c r="W10" s="101">
        <f t="shared" si="4"/>
        <v>0</v>
      </c>
      <c r="X10" s="101">
        <f t="shared" si="4"/>
        <v>0</v>
      </c>
      <c r="Y10" s="101">
        <f t="shared" si="4"/>
        <v>0</v>
      </c>
      <c r="Z10" s="101">
        <f t="shared" si="4"/>
        <v>0</v>
      </c>
      <c r="AA10" s="101">
        <f t="shared" si="4"/>
        <v>0</v>
      </c>
      <c r="AB10" s="101">
        <f t="shared" si="4"/>
        <v>0</v>
      </c>
      <c r="AC10" s="101">
        <f t="shared" si="4"/>
        <v>0</v>
      </c>
      <c r="AD10" s="101">
        <f t="shared" si="4"/>
        <v>0</v>
      </c>
      <c r="AE10" s="101">
        <f t="shared" si="4"/>
        <v>0</v>
      </c>
      <c r="AF10" s="101">
        <f t="shared" si="4"/>
        <v>0</v>
      </c>
      <c r="AG10" s="101">
        <f t="shared" si="4"/>
        <v>0</v>
      </c>
      <c r="AH10" s="75"/>
      <c r="AI10" s="77"/>
    </row>
    <row r="11">
      <c r="A11" s="79"/>
      <c r="B11" s="96" t="s">
        <v>65</v>
      </c>
      <c r="C11" s="102" t="s">
        <v>66</v>
      </c>
      <c r="D11" s="102"/>
      <c r="E11" s="103"/>
      <c r="F11" s="104">
        <f>F10</f>
        <v>9570</v>
      </c>
      <c r="G11" s="104">
        <f t="shared" ref="G11:AG11" si="5">F11+G10</f>
        <v>25740</v>
      </c>
      <c r="H11" s="104">
        <f t="shared" si="5"/>
        <v>38610</v>
      </c>
      <c r="I11" s="104">
        <f t="shared" si="5"/>
        <v>49830</v>
      </c>
      <c r="J11" s="104">
        <f t="shared" si="5"/>
        <v>63690</v>
      </c>
      <c r="K11" s="104">
        <f t="shared" si="5"/>
        <v>71940</v>
      </c>
      <c r="L11" s="104">
        <f t="shared" si="5"/>
        <v>80190</v>
      </c>
      <c r="M11" s="104">
        <f t="shared" si="5"/>
        <v>87120</v>
      </c>
      <c r="N11" s="104">
        <f t="shared" si="5"/>
        <v>94050</v>
      </c>
      <c r="O11" s="104">
        <f t="shared" si="5"/>
        <v>100980</v>
      </c>
      <c r="P11" s="104">
        <f t="shared" si="5"/>
        <v>100980</v>
      </c>
      <c r="Q11" s="104">
        <f t="shared" si="5"/>
        <v>100980</v>
      </c>
      <c r="R11" s="104">
        <f t="shared" si="5"/>
        <v>100980</v>
      </c>
      <c r="S11" s="104">
        <f t="shared" si="5"/>
        <v>100980</v>
      </c>
      <c r="T11" s="104">
        <f t="shared" si="5"/>
        <v>100980</v>
      </c>
      <c r="U11" s="104">
        <f t="shared" si="5"/>
        <v>100980</v>
      </c>
      <c r="V11" s="104">
        <f t="shared" si="5"/>
        <v>100980</v>
      </c>
      <c r="W11" s="104">
        <f t="shared" si="5"/>
        <v>100980</v>
      </c>
      <c r="X11" s="104">
        <f t="shared" si="5"/>
        <v>100980</v>
      </c>
      <c r="Y11" s="104">
        <f t="shared" si="5"/>
        <v>100980</v>
      </c>
      <c r="Z11" s="104">
        <f t="shared" si="5"/>
        <v>100980</v>
      </c>
      <c r="AA11" s="104">
        <f t="shared" si="5"/>
        <v>100980</v>
      </c>
      <c r="AB11" s="104">
        <f t="shared" si="5"/>
        <v>100980</v>
      </c>
      <c r="AC11" s="104">
        <f t="shared" si="5"/>
        <v>100980</v>
      </c>
      <c r="AD11" s="104">
        <f t="shared" si="5"/>
        <v>100980</v>
      </c>
      <c r="AE11" s="104">
        <f t="shared" si="5"/>
        <v>100980</v>
      </c>
      <c r="AF11" s="104">
        <f t="shared" si="5"/>
        <v>100980</v>
      </c>
      <c r="AG11" s="104">
        <f t="shared" si="5"/>
        <v>100980</v>
      </c>
      <c r="AH11" s="75"/>
      <c r="AI11" s="77"/>
    </row>
    <row r="12">
      <c r="A12" s="79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5"/>
      <c r="AI12" s="77"/>
    </row>
    <row r="13">
      <c r="A13" s="79"/>
      <c r="B13" s="105" t="s">
        <v>67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5"/>
      <c r="AI13" s="77"/>
    </row>
    <row r="14">
      <c r="A14" s="79"/>
      <c r="B14" s="77"/>
      <c r="C14" s="106"/>
      <c r="D14" s="107" t="s">
        <v>68</v>
      </c>
      <c r="E14" s="108"/>
      <c r="F14" s="88">
        <f>G3-1</f>
        <v>43681</v>
      </c>
      <c r="G14" s="88">
        <f t="shared" ref="G14:W14" si="6">F14+7</f>
        <v>43688</v>
      </c>
      <c r="H14" s="88">
        <f t="shared" si="6"/>
        <v>43695</v>
      </c>
      <c r="I14" s="88">
        <f t="shared" si="6"/>
        <v>43702</v>
      </c>
      <c r="J14" s="88">
        <f t="shared" si="6"/>
        <v>43709</v>
      </c>
      <c r="K14" s="88">
        <f t="shared" si="6"/>
        <v>43716</v>
      </c>
      <c r="L14" s="88">
        <f t="shared" si="6"/>
        <v>43723</v>
      </c>
      <c r="M14" s="88">
        <f t="shared" si="6"/>
        <v>43730</v>
      </c>
      <c r="N14" s="88">
        <f t="shared" si="6"/>
        <v>43737</v>
      </c>
      <c r="O14" s="88">
        <f t="shared" si="6"/>
        <v>43744</v>
      </c>
      <c r="P14" s="88">
        <f t="shared" si="6"/>
        <v>43751</v>
      </c>
      <c r="Q14" s="88">
        <f t="shared" si="6"/>
        <v>43758</v>
      </c>
      <c r="R14" s="88">
        <f t="shared" si="6"/>
        <v>43765</v>
      </c>
      <c r="S14" s="88">
        <f t="shared" si="6"/>
        <v>43772</v>
      </c>
      <c r="T14" s="88">
        <f t="shared" si="6"/>
        <v>43779</v>
      </c>
      <c r="U14" s="88">
        <f t="shared" si="6"/>
        <v>43786</v>
      </c>
      <c r="V14" s="88">
        <f t="shared" si="6"/>
        <v>43793</v>
      </c>
      <c r="W14" s="88">
        <f t="shared" si="6"/>
        <v>43800</v>
      </c>
      <c r="X14" s="88">
        <f t="shared" ref="X14:AG14" si="7">X3+6</f>
        <v>43807</v>
      </c>
      <c r="Y14" s="88">
        <f t="shared" si="7"/>
        <v>43814</v>
      </c>
      <c r="Z14" s="88">
        <f t="shared" si="7"/>
        <v>43779</v>
      </c>
      <c r="AA14" s="88">
        <f t="shared" si="7"/>
        <v>43786</v>
      </c>
      <c r="AB14" s="88">
        <f t="shared" si="7"/>
        <v>43793</v>
      </c>
      <c r="AC14" s="88">
        <f t="shared" si="7"/>
        <v>43800</v>
      </c>
      <c r="AD14" s="88">
        <f t="shared" si="7"/>
        <v>43807</v>
      </c>
      <c r="AE14" s="88">
        <f t="shared" si="7"/>
        <v>43814</v>
      </c>
      <c r="AF14" s="88">
        <f t="shared" si="7"/>
        <v>43821</v>
      </c>
      <c r="AG14" s="88">
        <f t="shared" si="7"/>
        <v>43828</v>
      </c>
      <c r="AH14" s="75"/>
      <c r="AI14" s="77"/>
    </row>
    <row r="15">
      <c r="A15" s="79"/>
      <c r="B15" s="77"/>
      <c r="C15" s="109"/>
      <c r="D15" s="110" t="s">
        <v>69</v>
      </c>
      <c r="E15" s="111">
        <f t="shared" ref="E15:E18" si="8">SUM(F15:U15)</f>
        <v>177.5</v>
      </c>
      <c r="F15" s="111">
        <f>SUMIFS(ACTUALS!$K:$K,ACTUALS!$A:$A, "Billable",ACTUALS!$L:$L,F14)</f>
        <v>102</v>
      </c>
      <c r="G15" s="111">
        <f>SUMIFS(ACTUALS!$K:$K,ACTUALS!$A:$A, "Billable",ACTUALS!$L:$L,G14)</f>
        <v>75.5</v>
      </c>
      <c r="H15" s="111">
        <f>SUMIFS(ACTUALS!$K:$K,ACTUALS!$A:$A, "Billable",ACTUALS!$L:$L,H14)</f>
        <v>0</v>
      </c>
      <c r="I15" s="111">
        <f>SUMIFS(ACTUALS!$K:$K,ACTUALS!$A:$A, "Billable",ACTUALS!$L:$L,I14)</f>
        <v>0</v>
      </c>
      <c r="J15" s="111">
        <f>SUMIFS(ACTUALS!$K:$K,ACTUALS!$A:$A, "Billable",ACTUALS!$L:$L,J14)</f>
        <v>0</v>
      </c>
      <c r="K15" s="111">
        <f>SUMIFS(ACTUALS!$K:$K,ACTUALS!$A:$A, "Billable",ACTUALS!$L:$L,K14)</f>
        <v>0</v>
      </c>
      <c r="L15" s="111">
        <f>SUMIFS(ACTUALS!$K:$K,ACTUALS!$A:$A, "Billable",ACTUALS!$L:$L,L14)</f>
        <v>0</v>
      </c>
      <c r="M15" s="111">
        <f>SUMIFS(ACTUALS!$K:$K,ACTUALS!$A:$A, "Billable",ACTUALS!$L:$L,M14)</f>
        <v>0</v>
      </c>
      <c r="N15" s="111">
        <f>SUMIFS(ACTUALS!$K:$K,ACTUALS!$A:$A, "Billable",ACTUALS!$L:$L,N14)</f>
        <v>0</v>
      </c>
      <c r="O15" s="111">
        <f>SUMIFS(ACTUALS!$K:$K,ACTUALS!$A:$A, "Billable",ACTUALS!$L:$L,O14)</f>
        <v>0</v>
      </c>
      <c r="P15" s="111">
        <f>SUMIFS(ACTUALS!$K:$K,ACTUALS!$A:$A, "Billable",ACTUALS!$L:$L,P14)</f>
        <v>0</v>
      </c>
      <c r="Q15" s="111">
        <f>SUMIFS(ACTUALS!$K:$K,ACTUALS!$A:$A, "Billable",ACTUALS!$L:$L,Q14)</f>
        <v>0</v>
      </c>
      <c r="R15" s="111">
        <f>SUMIFS(ACTUALS!$K:$K,ACTUALS!$A:$A, "Billable",ACTUALS!$L:$L,R14)</f>
        <v>0</v>
      </c>
      <c r="S15" s="111">
        <f>SUMIFS(ACTUALS!$K:$K,ACTUALS!$A:$A, "Billable",ACTUALS!$L:$L,S14)</f>
        <v>0</v>
      </c>
      <c r="T15" s="111">
        <f>SUMIFS(ACTUALS!$K:$K,ACTUALS!$A:$A, "Billable",ACTUALS!$L:$L,T14)</f>
        <v>0</v>
      </c>
      <c r="U15" s="111">
        <f>SUMIFS(ACTUALS!$K:$K,ACTUALS!$A:$A, "Billable",ACTUALS!$L:$L,U14)</f>
        <v>0</v>
      </c>
      <c r="V15" s="111">
        <f>SUMIFS(ACTUALS!$K:$K,ACTUALS!$A:$A, "Billable",ACTUALS!$L:$L,V14)</f>
        <v>0</v>
      </c>
      <c r="W15" s="111">
        <f>SUMIFS(ACTUALS!$K:$K,ACTUALS!$A:$A, "Billable",ACTUALS!$L:$L,W14)</f>
        <v>0</v>
      </c>
      <c r="X15" s="111">
        <f>SUMIFS(ACTUALS!$K:$K,ACTUALS!$A:$A, "Billable",ACTUALS!$L:$L,X14)</f>
        <v>0</v>
      </c>
      <c r="Y15" s="111">
        <f>SUMIFS(ACTUALS!$K:$K,ACTUALS!$A:$A, "Billable",ACTUALS!$L:$L,Y14)</f>
        <v>0</v>
      </c>
      <c r="Z15" s="111">
        <f>SUMIFS(ACTUALS!$K:$K,ACTUALS!$A:$A, "Billable",ACTUALS!$L:$L,Z14)</f>
        <v>0</v>
      </c>
      <c r="AA15" s="111">
        <f>SUMIFS(ACTUALS!$K:$K,ACTUALS!$A:$A, "Billable",ACTUALS!$L:$L,AA14)</f>
        <v>0</v>
      </c>
      <c r="AB15" s="111">
        <f>SUMIFS(ACTUALS!$K:$K,ACTUALS!$A:$A, "Billable",ACTUALS!$L:$L,AB14)</f>
        <v>0</v>
      </c>
      <c r="AC15" s="111">
        <f>SUMIFS(ACTUALS!$K:$K,ACTUALS!$A:$A, "Billable",ACTUALS!$L:$L,AC14)</f>
        <v>0</v>
      </c>
      <c r="AD15" s="111">
        <f>SUMIFS(ACTUALS!$K:$K,ACTUALS!$A:$A, "Billable",ACTUALS!$L:$L,AD14)</f>
        <v>0</v>
      </c>
      <c r="AE15" s="111">
        <f>SUMIFS(ACTUALS!$K:$K,ACTUALS!$A:$A, "Billable",ACTUALS!$L:$L,AE14)</f>
        <v>0</v>
      </c>
      <c r="AF15" s="111">
        <f>SUMIFS(ACTUALS!$K:$K,ACTUALS!$A:$A, "Billable",ACTUALS!$L:$L,AF14)</f>
        <v>0</v>
      </c>
      <c r="AG15" s="111">
        <f>SUMIFS(ACTUALS!$K:$K,ACTUALS!$A:$A, "Billable",ACTUALS!$L:$L,AG14)</f>
        <v>0</v>
      </c>
      <c r="AH15" s="75"/>
      <c r="AI15" s="77"/>
    </row>
    <row r="16">
      <c r="A16" s="79"/>
      <c r="B16" s="77"/>
      <c r="C16" s="109"/>
      <c r="D16" s="110" t="s">
        <v>70</v>
      </c>
      <c r="E16" s="112">
        <f t="shared" si="8"/>
        <v>29287.5</v>
      </c>
      <c r="F16" s="113">
        <f t="shared" ref="F16:AG16" si="9">F15*165</f>
        <v>16830</v>
      </c>
      <c r="G16" s="113">
        <f t="shared" si="9"/>
        <v>12457.5</v>
      </c>
      <c r="H16" s="113">
        <f t="shared" si="9"/>
        <v>0</v>
      </c>
      <c r="I16" s="113">
        <f t="shared" si="9"/>
        <v>0</v>
      </c>
      <c r="J16" s="113">
        <f t="shared" si="9"/>
        <v>0</v>
      </c>
      <c r="K16" s="113">
        <f t="shared" si="9"/>
        <v>0</v>
      </c>
      <c r="L16" s="113">
        <f t="shared" si="9"/>
        <v>0</v>
      </c>
      <c r="M16" s="113">
        <f t="shared" si="9"/>
        <v>0</v>
      </c>
      <c r="N16" s="113">
        <f t="shared" si="9"/>
        <v>0</v>
      </c>
      <c r="O16" s="113">
        <f t="shared" si="9"/>
        <v>0</v>
      </c>
      <c r="P16" s="113">
        <f t="shared" si="9"/>
        <v>0</v>
      </c>
      <c r="Q16" s="113">
        <f t="shared" si="9"/>
        <v>0</v>
      </c>
      <c r="R16" s="113">
        <f t="shared" si="9"/>
        <v>0</v>
      </c>
      <c r="S16" s="113">
        <f t="shared" si="9"/>
        <v>0</v>
      </c>
      <c r="T16" s="113">
        <f t="shared" si="9"/>
        <v>0</v>
      </c>
      <c r="U16" s="113">
        <f t="shared" si="9"/>
        <v>0</v>
      </c>
      <c r="V16" s="113">
        <f t="shared" si="9"/>
        <v>0</v>
      </c>
      <c r="W16" s="113">
        <f t="shared" si="9"/>
        <v>0</v>
      </c>
      <c r="X16" s="113">
        <f t="shared" si="9"/>
        <v>0</v>
      </c>
      <c r="Y16" s="113">
        <f t="shared" si="9"/>
        <v>0</v>
      </c>
      <c r="Z16" s="113">
        <f t="shared" si="9"/>
        <v>0</v>
      </c>
      <c r="AA16" s="113">
        <f t="shared" si="9"/>
        <v>0</v>
      </c>
      <c r="AB16" s="113">
        <f t="shared" si="9"/>
        <v>0</v>
      </c>
      <c r="AC16" s="113">
        <f t="shared" si="9"/>
        <v>0</v>
      </c>
      <c r="AD16" s="113">
        <f t="shared" si="9"/>
        <v>0</v>
      </c>
      <c r="AE16" s="113">
        <f t="shared" si="9"/>
        <v>0</v>
      </c>
      <c r="AF16" s="113">
        <f t="shared" si="9"/>
        <v>0</v>
      </c>
      <c r="AG16" s="113">
        <f t="shared" si="9"/>
        <v>0</v>
      </c>
      <c r="AH16" s="75"/>
      <c r="AI16" s="77"/>
    </row>
    <row r="17">
      <c r="A17" s="79"/>
      <c r="B17" s="77"/>
      <c r="C17" s="114"/>
      <c r="D17" s="115" t="s">
        <v>71</v>
      </c>
      <c r="E17" s="116">
        <f t="shared" si="8"/>
        <v>0</v>
      </c>
      <c r="F17" s="116">
        <f>SUMIFS(ACTUALS!$K:$K,ACTUALS!$A:$A, "Billable",ACTUALS!$M:$M,"OffShore",ACTUALS!$L:$L,F14)</f>
        <v>0</v>
      </c>
      <c r="G17" s="116">
        <f>SUMIFS(ACTUALS!$K:$K,ACTUALS!$A:$A, "Billable",ACTUALS!$M:$M,"OffShore",ACTUALS!$L:$L,G14)</f>
        <v>0</v>
      </c>
      <c r="H17" s="116">
        <f>SUMIFS(ACTUALS!$K:$K,ACTUALS!$A:$A, "Billable",ACTUALS!$M:$M,"OffShore",ACTUALS!$L:$L,H14)</f>
        <v>0</v>
      </c>
      <c r="I17" s="116">
        <f>SUMIFS(ACTUALS!$K:$K,ACTUALS!$A:$A, "Billable",ACTUALS!$M:$M,"OffShore",ACTUALS!$L:$L,I14)</f>
        <v>0</v>
      </c>
      <c r="J17" s="116">
        <f>SUMIFS(ACTUALS!$K:$K,ACTUALS!$A:$A, "Billable",ACTUALS!$M:$M,"OffShore",ACTUALS!$L:$L,J14)</f>
        <v>0</v>
      </c>
      <c r="K17" s="116">
        <f>SUMIFS(ACTUALS!$K:$K,ACTUALS!$A:$A, "Billable",ACTUALS!$M:$M,"OffShore",ACTUALS!$L:$L,K14)</f>
        <v>0</v>
      </c>
      <c r="L17" s="116">
        <f>SUMIFS(ACTUALS!$K:$K,ACTUALS!$A:$A, "Billable",ACTUALS!$M:$M,"OffShore",ACTUALS!$L:$L,L14)</f>
        <v>0</v>
      </c>
      <c r="M17" s="116">
        <f>SUMIFS(ACTUALS!$K:$K,ACTUALS!$A:$A, "Billable",ACTUALS!$M:$M,"OffShore",ACTUALS!$L:$L,M14)</f>
        <v>0</v>
      </c>
      <c r="N17" s="116">
        <f>SUMIFS(ACTUALS!$K:$K,ACTUALS!$A:$A, "Billable",ACTUALS!$M:$M,"OffShore",ACTUALS!$L:$L,N14)</f>
        <v>0</v>
      </c>
      <c r="O17" s="116">
        <f>SUMIFS(ACTUALS!$K:$K,ACTUALS!$A:$A, "Billable",ACTUALS!$M:$M,"OffShore",ACTUALS!$L:$L,O14)</f>
        <v>0</v>
      </c>
      <c r="P17" s="116">
        <f>SUMIFS(ACTUALS!$K:$K,ACTUALS!$A:$A, "Billable",ACTUALS!$M:$M,"OffShore",ACTUALS!$L:$L,P14)</f>
        <v>0</v>
      </c>
      <c r="Q17" s="116">
        <f>SUMIFS(ACTUALS!$K:$K,ACTUALS!$A:$A, "Billable",ACTUALS!$M:$M,"OffShore",ACTUALS!$L:$L,Q14)</f>
        <v>0</v>
      </c>
      <c r="R17" s="116">
        <f>SUMIFS(ACTUALS!$K:$K,ACTUALS!$A:$A, "Billable",ACTUALS!$M:$M,"OffShore",ACTUALS!$L:$L,R14)</f>
        <v>0</v>
      </c>
      <c r="S17" s="116">
        <f>SUMIFS(ACTUALS!$K:$K,ACTUALS!$A:$A, "Billable",ACTUALS!$M:$M,"OffShore",ACTUALS!$L:$L,S14)</f>
        <v>0</v>
      </c>
      <c r="T17" s="116">
        <f>SUMIFS(ACTUALS!$K:$K,ACTUALS!$A:$A, "Billable",ACTUALS!$M:$M,"OffShore",ACTUALS!$L:$L,T14)</f>
        <v>0</v>
      </c>
      <c r="U17" s="116">
        <f>SUMIFS(ACTUALS!$K:$K,ACTUALS!$A:$A, "Billable",ACTUALS!$M:$M,"OffShore",ACTUALS!$L:$L,U14)</f>
        <v>0</v>
      </c>
      <c r="V17" s="116">
        <f>SUMIFS(ACTUALS!$K:$K,ACTUALS!$A:$A, "Billable",ACTUALS!$M:$M,"OffShore",ACTUALS!$L:$L,V14)</f>
        <v>0</v>
      </c>
      <c r="W17" s="116">
        <f>SUMIFS(ACTUALS!$K:$K,ACTUALS!$A:$A, "Billable",ACTUALS!$M:$M,"OffShore",ACTUALS!$L:$L,W14)</f>
        <v>0</v>
      </c>
      <c r="X17" s="116">
        <f>SUMIFS(ACTUALS!$K:$K,ACTUALS!$A:$A, "Billable",ACTUALS!$M:$M,"OffShore",ACTUALS!$L:$L,X14)</f>
        <v>0</v>
      </c>
      <c r="Y17" s="116">
        <f>SUMIFS(ACTUALS!$K:$K,ACTUALS!$A:$A, "Billable",ACTUALS!$M:$M,"OffShore",ACTUALS!$L:$L,Y14)</f>
        <v>0</v>
      </c>
      <c r="Z17" s="116">
        <f>SUMIFS(ACTUALS!$K:$K,ACTUALS!$A:$A, "Billable",ACTUALS!$M:$M,"OffShore",ACTUALS!$L:$L,Z14)</f>
        <v>0</v>
      </c>
      <c r="AA17" s="116">
        <f>SUMIFS(ACTUALS!$K:$K,ACTUALS!$A:$A, "Billable",ACTUALS!$M:$M,"OffShore",ACTUALS!$L:$L,AA14)</f>
        <v>0</v>
      </c>
      <c r="AB17" s="116">
        <f>SUMIFS(ACTUALS!$K:$K,ACTUALS!$A:$A, "Billable",ACTUALS!$M:$M,"OffShore",ACTUALS!$L:$L,AB14)</f>
        <v>0</v>
      </c>
      <c r="AC17" s="116">
        <f>SUMIFS(ACTUALS!$K:$K,ACTUALS!$A:$A, "Billable",ACTUALS!$M:$M,"OffShore",ACTUALS!$L:$L,AC14)</f>
        <v>0</v>
      </c>
      <c r="AD17" s="116">
        <f>SUMIFS(ACTUALS!$K:$K,ACTUALS!$A:$A, "Billable",ACTUALS!$M:$M,"OffShore",ACTUALS!$L:$L,AD14)</f>
        <v>0</v>
      </c>
      <c r="AE17" s="116">
        <f>SUMIFS(ACTUALS!$K:$K,ACTUALS!$A:$A, "Billable",ACTUALS!$M:$M,"OffShore",ACTUALS!$L:$L,AE14)</f>
        <v>0</v>
      </c>
      <c r="AF17" s="116">
        <f>SUMIFS(ACTUALS!$K:$K,ACTUALS!$A:$A, "Billable",ACTUALS!$M:$M,"OffShore",ACTUALS!$L:$L,AF14)</f>
        <v>0</v>
      </c>
      <c r="AG17" s="116">
        <f>SUMIFS(ACTUALS!$K:$K,ACTUALS!$A:$A, "Billable",ACTUALS!$M:$M,"OffShore",ACTUALS!$L:$L,AG14)</f>
        <v>0</v>
      </c>
      <c r="AH17" s="75"/>
      <c r="AI17" s="77"/>
    </row>
    <row r="18">
      <c r="A18" s="79"/>
      <c r="B18" s="77"/>
      <c r="C18" s="114"/>
      <c r="D18" s="115" t="s">
        <v>72</v>
      </c>
      <c r="E18" s="117">
        <f t="shared" si="8"/>
        <v>0</v>
      </c>
      <c r="F18" s="118">
        <f t="shared" ref="F18:AG18" si="10">F17*135</f>
        <v>0</v>
      </c>
      <c r="G18" s="118">
        <f t="shared" si="10"/>
        <v>0</v>
      </c>
      <c r="H18" s="118">
        <f t="shared" si="10"/>
        <v>0</v>
      </c>
      <c r="I18" s="118">
        <f t="shared" si="10"/>
        <v>0</v>
      </c>
      <c r="J18" s="118">
        <f t="shared" si="10"/>
        <v>0</v>
      </c>
      <c r="K18" s="118">
        <f t="shared" si="10"/>
        <v>0</v>
      </c>
      <c r="L18" s="118">
        <f t="shared" si="10"/>
        <v>0</v>
      </c>
      <c r="M18" s="118">
        <f t="shared" si="10"/>
        <v>0</v>
      </c>
      <c r="N18" s="118">
        <f t="shared" si="10"/>
        <v>0</v>
      </c>
      <c r="O18" s="118">
        <f t="shared" si="10"/>
        <v>0</v>
      </c>
      <c r="P18" s="118">
        <f t="shared" si="10"/>
        <v>0</v>
      </c>
      <c r="Q18" s="118">
        <f t="shared" si="10"/>
        <v>0</v>
      </c>
      <c r="R18" s="118">
        <f t="shared" si="10"/>
        <v>0</v>
      </c>
      <c r="S18" s="118">
        <f t="shared" si="10"/>
        <v>0</v>
      </c>
      <c r="T18" s="118">
        <f t="shared" si="10"/>
        <v>0</v>
      </c>
      <c r="U18" s="118">
        <f t="shared" si="10"/>
        <v>0</v>
      </c>
      <c r="V18" s="118">
        <f t="shared" si="10"/>
        <v>0</v>
      </c>
      <c r="W18" s="118">
        <f t="shared" si="10"/>
        <v>0</v>
      </c>
      <c r="X18" s="118">
        <f t="shared" si="10"/>
        <v>0</v>
      </c>
      <c r="Y18" s="118">
        <f t="shared" si="10"/>
        <v>0</v>
      </c>
      <c r="Z18" s="118">
        <f t="shared" si="10"/>
        <v>0</v>
      </c>
      <c r="AA18" s="118">
        <f t="shared" si="10"/>
        <v>0</v>
      </c>
      <c r="AB18" s="118">
        <f t="shared" si="10"/>
        <v>0</v>
      </c>
      <c r="AC18" s="118">
        <f t="shared" si="10"/>
        <v>0</v>
      </c>
      <c r="AD18" s="118">
        <f t="shared" si="10"/>
        <v>0</v>
      </c>
      <c r="AE18" s="118">
        <f t="shared" si="10"/>
        <v>0</v>
      </c>
      <c r="AF18" s="118">
        <f t="shared" si="10"/>
        <v>0</v>
      </c>
      <c r="AG18" s="118">
        <f t="shared" si="10"/>
        <v>0</v>
      </c>
      <c r="AH18" s="75"/>
      <c r="AI18" s="77"/>
    </row>
    <row r="19">
      <c r="A19" s="79"/>
      <c r="B19" s="96" t="s">
        <v>73</v>
      </c>
      <c r="C19" s="102"/>
      <c r="D19" s="119" t="s">
        <v>74</v>
      </c>
      <c r="E19" s="103"/>
      <c r="F19" s="104">
        <f>F16+F18</f>
        <v>16830</v>
      </c>
      <c r="G19" s="104">
        <f t="shared" ref="G19:AG19" si="11">F19+G16+G18</f>
        <v>29287.5</v>
      </c>
      <c r="H19" s="104">
        <f t="shared" si="11"/>
        <v>29287.5</v>
      </c>
      <c r="I19" s="104">
        <f t="shared" si="11"/>
        <v>29287.5</v>
      </c>
      <c r="J19" s="104">
        <f t="shared" si="11"/>
        <v>29287.5</v>
      </c>
      <c r="K19" s="104">
        <f t="shared" si="11"/>
        <v>29287.5</v>
      </c>
      <c r="L19" s="104">
        <f t="shared" si="11"/>
        <v>29287.5</v>
      </c>
      <c r="M19" s="104">
        <f t="shared" si="11"/>
        <v>29287.5</v>
      </c>
      <c r="N19" s="104">
        <f t="shared" si="11"/>
        <v>29287.5</v>
      </c>
      <c r="O19" s="104">
        <f t="shared" si="11"/>
        <v>29287.5</v>
      </c>
      <c r="P19" s="104">
        <f t="shared" si="11"/>
        <v>29287.5</v>
      </c>
      <c r="Q19" s="104">
        <f t="shared" si="11"/>
        <v>29287.5</v>
      </c>
      <c r="R19" s="104">
        <f t="shared" si="11"/>
        <v>29287.5</v>
      </c>
      <c r="S19" s="104">
        <f t="shared" si="11"/>
        <v>29287.5</v>
      </c>
      <c r="T19" s="104">
        <f t="shared" si="11"/>
        <v>29287.5</v>
      </c>
      <c r="U19" s="104">
        <f t="shared" si="11"/>
        <v>29287.5</v>
      </c>
      <c r="V19" s="104">
        <f t="shared" si="11"/>
        <v>29287.5</v>
      </c>
      <c r="W19" s="104">
        <f t="shared" si="11"/>
        <v>29287.5</v>
      </c>
      <c r="X19" s="104">
        <f t="shared" si="11"/>
        <v>29287.5</v>
      </c>
      <c r="Y19" s="104">
        <f t="shared" si="11"/>
        <v>29287.5</v>
      </c>
      <c r="Z19" s="104">
        <f t="shared" si="11"/>
        <v>29287.5</v>
      </c>
      <c r="AA19" s="104">
        <f t="shared" si="11"/>
        <v>29287.5</v>
      </c>
      <c r="AB19" s="104">
        <f t="shared" si="11"/>
        <v>29287.5</v>
      </c>
      <c r="AC19" s="104">
        <f t="shared" si="11"/>
        <v>29287.5</v>
      </c>
      <c r="AD19" s="104">
        <f t="shared" si="11"/>
        <v>29287.5</v>
      </c>
      <c r="AE19" s="104">
        <f t="shared" si="11"/>
        <v>29287.5</v>
      </c>
      <c r="AF19" s="104">
        <f t="shared" si="11"/>
        <v>29287.5</v>
      </c>
      <c r="AG19" s="104">
        <f t="shared" si="11"/>
        <v>29287.5</v>
      </c>
      <c r="AH19" s="75"/>
      <c r="AI19" s="77"/>
    </row>
    <row r="20">
      <c r="A20" s="79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5"/>
      <c r="AI20" s="77"/>
    </row>
    <row r="21" ht="17.25" customHeight="1">
      <c r="A21" s="79"/>
      <c r="B21" s="105" t="s">
        <v>75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5"/>
      <c r="AI21" s="77"/>
    </row>
    <row r="22" ht="17.25" customHeight="1">
      <c r="A22" s="79"/>
      <c r="B22" s="96" t="s">
        <v>76</v>
      </c>
      <c r="C22" s="120"/>
      <c r="D22" s="120" t="s">
        <v>77</v>
      </c>
      <c r="E22" s="121"/>
      <c r="F22" s="122">
        <f>'EV WORKSHEET'!E9</f>
        <v>6520</v>
      </c>
      <c r="G22" s="122">
        <f>'EV WORKSHEET'!F9</f>
        <v>8264</v>
      </c>
      <c r="H22" s="122">
        <f>'EV WORKSHEET'!G9</f>
        <v>8220</v>
      </c>
      <c r="I22" s="122">
        <f>'EV WORKSHEET'!H9</f>
        <v>1680</v>
      </c>
      <c r="J22" s="122">
        <f>'EV WORKSHEET'!I9</f>
        <v>268800</v>
      </c>
      <c r="K22" s="122">
        <f>'EV WORKSHEET'!J9</f>
        <v>0</v>
      </c>
      <c r="L22" s="122">
        <f>'EV WORKSHEET'!K9</f>
        <v>0</v>
      </c>
      <c r="M22" s="122">
        <f>'EV WORKSHEET'!L9</f>
        <v>0</v>
      </c>
      <c r="N22" s="122">
        <f>'EV WORKSHEET'!M9</f>
        <v>0</v>
      </c>
      <c r="O22" s="122">
        <f>'EV WORKSHEET'!N9</f>
        <v>0</v>
      </c>
      <c r="P22" s="122">
        <f>'EV WORKSHEET'!O9</f>
        <v>0</v>
      </c>
      <c r="Q22" s="122">
        <f>'EV WORKSHEET'!P9</f>
        <v>0</v>
      </c>
      <c r="R22" s="122">
        <f>'EV WORKSHEET'!Q9</f>
        <v>0</v>
      </c>
      <c r="S22" s="122">
        <f>'EV WORKSHEET'!R9</f>
        <v>0</v>
      </c>
      <c r="T22" s="122">
        <f>'EV WORKSHEET'!S9</f>
        <v>0</v>
      </c>
      <c r="U22" s="122">
        <f>'EV WORKSHEET'!Q9</f>
        <v>0</v>
      </c>
      <c r="V22" s="122">
        <f>'EV WORKSHEET'!R9</f>
        <v>0</v>
      </c>
      <c r="W22" s="122">
        <f>'EV WORKSHEET'!S9</f>
        <v>0</v>
      </c>
      <c r="X22" s="122">
        <f>'EV WORKSHEET'!T9</f>
        <v>0</v>
      </c>
      <c r="Y22" s="122">
        <f>'EV WORKSHEET'!U9</f>
        <v>0</v>
      </c>
      <c r="Z22" s="122">
        <f>'EV WORKSHEET'!V9</f>
        <v>0</v>
      </c>
      <c r="AA22" s="122">
        <f>'EV WORKSHEET'!W9</f>
        <v>0</v>
      </c>
      <c r="AB22" s="122">
        <f>'EV WORKSHEET'!X9</f>
        <v>0</v>
      </c>
      <c r="AC22" s="122">
        <f>'EV WORKSHEET'!Y9</f>
        <v>0</v>
      </c>
      <c r="AD22" s="122">
        <f>'EV WORKSHEET'!Z9</f>
        <v>0</v>
      </c>
      <c r="AE22" s="122">
        <f>'EV WORKSHEET'!AA9</f>
        <v>0</v>
      </c>
      <c r="AF22" s="122">
        <f>'EV WORKSHEET'!AB9</f>
        <v>0</v>
      </c>
      <c r="AG22" s="122" t="str">
        <f>'EV WORKSHEET'!AD9</f>
        <v/>
      </c>
      <c r="AH22" s="75"/>
      <c r="AI22" s="77"/>
    </row>
    <row r="23" ht="15.75" customHeight="1">
      <c r="A23" s="79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5"/>
      <c r="AI23" s="77"/>
    </row>
    <row r="24" ht="17.25" customHeight="1">
      <c r="A24" s="79"/>
      <c r="B24" s="105" t="s">
        <v>78</v>
      </c>
      <c r="C24" s="105"/>
      <c r="D24" s="123"/>
      <c r="E24" s="123"/>
      <c r="F24" s="124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75"/>
      <c r="AI24" s="77"/>
    </row>
    <row r="25" ht="15.75" customHeight="1">
      <c r="A25" s="79"/>
      <c r="B25" s="126" t="s">
        <v>79</v>
      </c>
      <c r="C25" s="127"/>
      <c r="D25" s="127" t="s">
        <v>80</v>
      </c>
      <c r="E25" s="128" t="s">
        <v>81</v>
      </c>
      <c r="F25" s="129">
        <f t="shared" ref="F25:AG25" si="12">F22-F19</f>
        <v>-10310</v>
      </c>
      <c r="G25" s="129">
        <f t="shared" si="12"/>
        <v>-21023.5</v>
      </c>
      <c r="H25" s="129">
        <f t="shared" si="12"/>
        <v>-21067.5</v>
      </c>
      <c r="I25" s="129">
        <f t="shared" si="12"/>
        <v>-27607.5</v>
      </c>
      <c r="J25" s="129">
        <f t="shared" si="12"/>
        <v>239512.5</v>
      </c>
      <c r="K25" s="129">
        <f t="shared" si="12"/>
        <v>-29287.5</v>
      </c>
      <c r="L25" s="129">
        <f t="shared" si="12"/>
        <v>-29287.5</v>
      </c>
      <c r="M25" s="129">
        <f t="shared" si="12"/>
        <v>-29287.5</v>
      </c>
      <c r="N25" s="129">
        <f t="shared" si="12"/>
        <v>-29287.5</v>
      </c>
      <c r="O25" s="129">
        <f t="shared" si="12"/>
        <v>-29287.5</v>
      </c>
      <c r="P25" s="129">
        <f t="shared" si="12"/>
        <v>-29287.5</v>
      </c>
      <c r="Q25" s="129">
        <f t="shared" si="12"/>
        <v>-29287.5</v>
      </c>
      <c r="R25" s="129">
        <f t="shared" si="12"/>
        <v>-29287.5</v>
      </c>
      <c r="S25" s="129">
        <f t="shared" si="12"/>
        <v>-29287.5</v>
      </c>
      <c r="T25" s="129">
        <f t="shared" si="12"/>
        <v>-29287.5</v>
      </c>
      <c r="U25" s="129">
        <f t="shared" si="12"/>
        <v>-29287.5</v>
      </c>
      <c r="V25" s="129">
        <f t="shared" si="12"/>
        <v>-29287.5</v>
      </c>
      <c r="W25" s="129">
        <f t="shared" si="12"/>
        <v>-29287.5</v>
      </c>
      <c r="X25" s="129">
        <f t="shared" si="12"/>
        <v>-29287.5</v>
      </c>
      <c r="Y25" s="129">
        <f t="shared" si="12"/>
        <v>-29287.5</v>
      </c>
      <c r="Z25" s="129">
        <f t="shared" si="12"/>
        <v>-29287.5</v>
      </c>
      <c r="AA25" s="129">
        <f t="shared" si="12"/>
        <v>-29287.5</v>
      </c>
      <c r="AB25" s="129">
        <f t="shared" si="12"/>
        <v>-29287.5</v>
      </c>
      <c r="AC25" s="129">
        <f t="shared" si="12"/>
        <v>-29287.5</v>
      </c>
      <c r="AD25" s="129">
        <f t="shared" si="12"/>
        <v>-29287.5</v>
      </c>
      <c r="AE25" s="129">
        <f t="shared" si="12"/>
        <v>-29287.5</v>
      </c>
      <c r="AF25" s="129">
        <f t="shared" si="12"/>
        <v>-29287.5</v>
      </c>
      <c r="AG25" s="129">
        <f t="shared" si="12"/>
        <v>-29287.5</v>
      </c>
      <c r="AH25" s="75"/>
      <c r="AI25" s="77"/>
    </row>
    <row r="26" ht="15.75" customHeight="1">
      <c r="A26" s="79"/>
      <c r="B26" s="126" t="s">
        <v>82</v>
      </c>
      <c r="C26" s="127"/>
      <c r="D26" s="127" t="s">
        <v>83</v>
      </c>
      <c r="E26" s="128" t="s">
        <v>84</v>
      </c>
      <c r="F26" s="129">
        <f t="shared" ref="F26:AG26" si="13">F22-F11</f>
        <v>-3050</v>
      </c>
      <c r="G26" s="129">
        <f t="shared" si="13"/>
        <v>-17476</v>
      </c>
      <c r="H26" s="129">
        <f t="shared" si="13"/>
        <v>-30390</v>
      </c>
      <c r="I26" s="129">
        <f t="shared" si="13"/>
        <v>-48150</v>
      </c>
      <c r="J26" s="129">
        <f t="shared" si="13"/>
        <v>205110</v>
      </c>
      <c r="K26" s="129">
        <f t="shared" si="13"/>
        <v>-71940</v>
      </c>
      <c r="L26" s="129">
        <f t="shared" si="13"/>
        <v>-80190</v>
      </c>
      <c r="M26" s="129">
        <f t="shared" si="13"/>
        <v>-87120</v>
      </c>
      <c r="N26" s="129">
        <f t="shared" si="13"/>
        <v>-94050</v>
      </c>
      <c r="O26" s="129">
        <f t="shared" si="13"/>
        <v>-100980</v>
      </c>
      <c r="P26" s="129">
        <f t="shared" si="13"/>
        <v>-100980</v>
      </c>
      <c r="Q26" s="129">
        <f t="shared" si="13"/>
        <v>-100980</v>
      </c>
      <c r="R26" s="129">
        <f t="shared" si="13"/>
        <v>-100980</v>
      </c>
      <c r="S26" s="129">
        <f t="shared" si="13"/>
        <v>-100980</v>
      </c>
      <c r="T26" s="129">
        <f t="shared" si="13"/>
        <v>-100980</v>
      </c>
      <c r="U26" s="129">
        <f t="shared" si="13"/>
        <v>-100980</v>
      </c>
      <c r="V26" s="129">
        <f t="shared" si="13"/>
        <v>-100980</v>
      </c>
      <c r="W26" s="129">
        <f t="shared" si="13"/>
        <v>-100980</v>
      </c>
      <c r="X26" s="129">
        <f t="shared" si="13"/>
        <v>-100980</v>
      </c>
      <c r="Y26" s="129">
        <f t="shared" si="13"/>
        <v>-100980</v>
      </c>
      <c r="Z26" s="129">
        <f t="shared" si="13"/>
        <v>-100980</v>
      </c>
      <c r="AA26" s="129">
        <f t="shared" si="13"/>
        <v>-100980</v>
      </c>
      <c r="AB26" s="129">
        <f t="shared" si="13"/>
        <v>-100980</v>
      </c>
      <c r="AC26" s="129">
        <f t="shared" si="13"/>
        <v>-100980</v>
      </c>
      <c r="AD26" s="129">
        <f t="shared" si="13"/>
        <v>-100980</v>
      </c>
      <c r="AE26" s="129">
        <f t="shared" si="13"/>
        <v>-100980</v>
      </c>
      <c r="AF26" s="129">
        <f t="shared" si="13"/>
        <v>-100980</v>
      </c>
      <c r="AG26" s="129">
        <f t="shared" si="13"/>
        <v>-100980</v>
      </c>
      <c r="AH26" s="75"/>
      <c r="AI26" s="77"/>
    </row>
    <row r="27" ht="15.75" customHeight="1">
      <c r="A27" s="79"/>
      <c r="B27" s="126" t="s">
        <v>85</v>
      </c>
      <c r="C27" s="127"/>
      <c r="D27" s="127" t="s">
        <v>86</v>
      </c>
      <c r="E27" s="128" t="s">
        <v>87</v>
      </c>
      <c r="F27" s="130">
        <f t="shared" ref="F27:AG27" si="14">F22/F19</f>
        <v>0.3874034462</v>
      </c>
      <c r="G27" s="130">
        <f t="shared" si="14"/>
        <v>0.2821681605</v>
      </c>
      <c r="H27" s="130">
        <f t="shared" si="14"/>
        <v>0.2806658131</v>
      </c>
      <c r="I27" s="130">
        <f t="shared" si="14"/>
        <v>0.05736235595</v>
      </c>
      <c r="J27" s="130">
        <f t="shared" si="14"/>
        <v>9.177976953</v>
      </c>
      <c r="K27" s="130">
        <f t="shared" si="14"/>
        <v>0</v>
      </c>
      <c r="L27" s="130">
        <f t="shared" si="14"/>
        <v>0</v>
      </c>
      <c r="M27" s="130">
        <f t="shared" si="14"/>
        <v>0</v>
      </c>
      <c r="N27" s="130">
        <f t="shared" si="14"/>
        <v>0</v>
      </c>
      <c r="O27" s="130">
        <f t="shared" si="14"/>
        <v>0</v>
      </c>
      <c r="P27" s="130">
        <f t="shared" si="14"/>
        <v>0</v>
      </c>
      <c r="Q27" s="130">
        <f t="shared" si="14"/>
        <v>0</v>
      </c>
      <c r="R27" s="130">
        <f t="shared" si="14"/>
        <v>0</v>
      </c>
      <c r="S27" s="130">
        <f t="shared" si="14"/>
        <v>0</v>
      </c>
      <c r="T27" s="130">
        <f t="shared" si="14"/>
        <v>0</v>
      </c>
      <c r="U27" s="130">
        <f t="shared" si="14"/>
        <v>0</v>
      </c>
      <c r="V27" s="130">
        <f t="shared" si="14"/>
        <v>0</v>
      </c>
      <c r="W27" s="130">
        <f t="shared" si="14"/>
        <v>0</v>
      </c>
      <c r="X27" s="130">
        <f t="shared" si="14"/>
        <v>0</v>
      </c>
      <c r="Y27" s="130">
        <f t="shared" si="14"/>
        <v>0</v>
      </c>
      <c r="Z27" s="130">
        <f t="shared" si="14"/>
        <v>0</v>
      </c>
      <c r="AA27" s="130">
        <f t="shared" si="14"/>
        <v>0</v>
      </c>
      <c r="AB27" s="130">
        <f t="shared" si="14"/>
        <v>0</v>
      </c>
      <c r="AC27" s="130">
        <f t="shared" si="14"/>
        <v>0</v>
      </c>
      <c r="AD27" s="130">
        <f t="shared" si="14"/>
        <v>0</v>
      </c>
      <c r="AE27" s="130">
        <f t="shared" si="14"/>
        <v>0</v>
      </c>
      <c r="AF27" s="130">
        <f t="shared" si="14"/>
        <v>0</v>
      </c>
      <c r="AG27" s="130">
        <f t="shared" si="14"/>
        <v>0</v>
      </c>
      <c r="AH27" s="75"/>
      <c r="AI27" s="77"/>
    </row>
    <row r="28" ht="15.75" customHeight="1">
      <c r="A28" s="79"/>
      <c r="B28" s="126" t="s">
        <v>88</v>
      </c>
      <c r="C28" s="127"/>
      <c r="D28" s="127" t="s">
        <v>89</v>
      </c>
      <c r="E28" s="128" t="s">
        <v>90</v>
      </c>
      <c r="F28" s="130">
        <f t="shared" ref="F28:AG28" si="15">F22/F11</f>
        <v>0.6812957158</v>
      </c>
      <c r="G28" s="130">
        <f t="shared" si="15"/>
        <v>0.3210567211</v>
      </c>
      <c r="H28" s="130">
        <f t="shared" si="15"/>
        <v>0.2128982129</v>
      </c>
      <c r="I28" s="130">
        <f t="shared" si="15"/>
        <v>0.03371462974</v>
      </c>
      <c r="J28" s="130">
        <f t="shared" si="15"/>
        <v>4.22044277</v>
      </c>
      <c r="K28" s="130">
        <f t="shared" si="15"/>
        <v>0</v>
      </c>
      <c r="L28" s="130">
        <f t="shared" si="15"/>
        <v>0</v>
      </c>
      <c r="M28" s="130">
        <f t="shared" si="15"/>
        <v>0</v>
      </c>
      <c r="N28" s="130">
        <f t="shared" si="15"/>
        <v>0</v>
      </c>
      <c r="O28" s="130">
        <f t="shared" si="15"/>
        <v>0</v>
      </c>
      <c r="P28" s="130">
        <f t="shared" si="15"/>
        <v>0</v>
      </c>
      <c r="Q28" s="130">
        <f t="shared" si="15"/>
        <v>0</v>
      </c>
      <c r="R28" s="130">
        <f t="shared" si="15"/>
        <v>0</v>
      </c>
      <c r="S28" s="130">
        <f t="shared" si="15"/>
        <v>0</v>
      </c>
      <c r="T28" s="130">
        <f t="shared" si="15"/>
        <v>0</v>
      </c>
      <c r="U28" s="130">
        <f t="shared" si="15"/>
        <v>0</v>
      </c>
      <c r="V28" s="130">
        <f t="shared" si="15"/>
        <v>0</v>
      </c>
      <c r="W28" s="130">
        <f t="shared" si="15"/>
        <v>0</v>
      </c>
      <c r="X28" s="130">
        <f t="shared" si="15"/>
        <v>0</v>
      </c>
      <c r="Y28" s="130">
        <f t="shared" si="15"/>
        <v>0</v>
      </c>
      <c r="Z28" s="130">
        <f t="shared" si="15"/>
        <v>0</v>
      </c>
      <c r="AA28" s="130">
        <f t="shared" si="15"/>
        <v>0</v>
      </c>
      <c r="AB28" s="130">
        <f t="shared" si="15"/>
        <v>0</v>
      </c>
      <c r="AC28" s="130">
        <f t="shared" si="15"/>
        <v>0</v>
      </c>
      <c r="AD28" s="130">
        <f t="shared" si="15"/>
        <v>0</v>
      </c>
      <c r="AE28" s="130">
        <f t="shared" si="15"/>
        <v>0</v>
      </c>
      <c r="AF28" s="130">
        <f t="shared" si="15"/>
        <v>0</v>
      </c>
      <c r="AG28" s="130">
        <f t="shared" si="15"/>
        <v>0</v>
      </c>
      <c r="AH28" s="75"/>
      <c r="AI28" s="77"/>
    </row>
    <row r="29" ht="15.75" customHeight="1">
      <c r="A29" s="79"/>
      <c r="B29" s="131" t="s">
        <v>91</v>
      </c>
      <c r="C29" s="132"/>
      <c r="D29" s="132" t="s">
        <v>92</v>
      </c>
      <c r="E29" s="133"/>
      <c r="F29" s="134">
        <f t="shared" ref="F29:AG29" si="16">$E$10/F27</f>
        <v>260658.4969</v>
      </c>
      <c r="G29" s="134">
        <f t="shared" si="16"/>
        <v>357871.7026</v>
      </c>
      <c r="H29" s="134">
        <f t="shared" si="16"/>
        <v>359787.3175</v>
      </c>
      <c r="I29" s="134">
        <f t="shared" si="16"/>
        <v>1760387.946</v>
      </c>
      <c r="J29" s="134">
        <f t="shared" si="16"/>
        <v>11002.42467</v>
      </c>
      <c r="K29" s="134" t="str">
        <f t="shared" si="16"/>
        <v>#DIV/0!</v>
      </c>
      <c r="L29" s="134" t="str">
        <f t="shared" si="16"/>
        <v>#DIV/0!</v>
      </c>
      <c r="M29" s="134" t="str">
        <f t="shared" si="16"/>
        <v>#DIV/0!</v>
      </c>
      <c r="N29" s="134" t="str">
        <f t="shared" si="16"/>
        <v>#DIV/0!</v>
      </c>
      <c r="O29" s="134" t="str">
        <f t="shared" si="16"/>
        <v>#DIV/0!</v>
      </c>
      <c r="P29" s="134" t="str">
        <f t="shared" si="16"/>
        <v>#DIV/0!</v>
      </c>
      <c r="Q29" s="134" t="str">
        <f t="shared" si="16"/>
        <v>#DIV/0!</v>
      </c>
      <c r="R29" s="134" t="str">
        <f t="shared" si="16"/>
        <v>#DIV/0!</v>
      </c>
      <c r="S29" s="134" t="str">
        <f t="shared" si="16"/>
        <v>#DIV/0!</v>
      </c>
      <c r="T29" s="134" t="str">
        <f t="shared" si="16"/>
        <v>#DIV/0!</v>
      </c>
      <c r="U29" s="134" t="str">
        <f t="shared" si="16"/>
        <v>#DIV/0!</v>
      </c>
      <c r="V29" s="134" t="str">
        <f t="shared" si="16"/>
        <v>#DIV/0!</v>
      </c>
      <c r="W29" s="134" t="str">
        <f t="shared" si="16"/>
        <v>#DIV/0!</v>
      </c>
      <c r="X29" s="134" t="str">
        <f t="shared" si="16"/>
        <v>#DIV/0!</v>
      </c>
      <c r="Y29" s="134" t="str">
        <f t="shared" si="16"/>
        <v>#DIV/0!</v>
      </c>
      <c r="Z29" s="134" t="str">
        <f t="shared" si="16"/>
        <v>#DIV/0!</v>
      </c>
      <c r="AA29" s="134" t="str">
        <f t="shared" si="16"/>
        <v>#DIV/0!</v>
      </c>
      <c r="AB29" s="134" t="str">
        <f t="shared" si="16"/>
        <v>#DIV/0!</v>
      </c>
      <c r="AC29" s="134" t="str">
        <f t="shared" si="16"/>
        <v>#DIV/0!</v>
      </c>
      <c r="AD29" s="134" t="str">
        <f t="shared" si="16"/>
        <v>#DIV/0!</v>
      </c>
      <c r="AE29" s="134" t="str">
        <f t="shared" si="16"/>
        <v>#DIV/0!</v>
      </c>
      <c r="AF29" s="134" t="str">
        <f t="shared" si="16"/>
        <v>#DIV/0!</v>
      </c>
      <c r="AG29" s="134" t="str">
        <f t="shared" si="16"/>
        <v>#DIV/0!</v>
      </c>
      <c r="AH29" s="75"/>
      <c r="AI29" s="77"/>
    </row>
    <row r="30" ht="15.75" customHeight="1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5"/>
      <c r="AI30" s="77"/>
    </row>
    <row r="31" ht="15.75" customHeight="1">
      <c r="A31" s="79"/>
      <c r="B31" s="77"/>
      <c r="C31" s="135" t="s">
        <v>93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5"/>
      <c r="AI31" s="77"/>
    </row>
    <row r="32" ht="15.75" customHeight="1">
      <c r="A32" s="79"/>
      <c r="B32" s="77"/>
      <c r="C32" s="135" t="s">
        <v>94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5"/>
      <c r="AI32" s="77"/>
    </row>
    <row r="33" ht="15.75" customHeight="1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5"/>
      <c r="AI33" s="77">
        <f>SUM(F9:P9)-SUM(F15:P15)</f>
        <v>434.5</v>
      </c>
    </row>
    <row r="34" ht="15.75" customHeight="1">
      <c r="A34" s="79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5"/>
      <c r="AI34" s="77"/>
    </row>
    <row r="35" ht="15.75" customHeight="1">
      <c r="A35" s="79"/>
      <c r="B35" s="136" t="s">
        <v>95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5"/>
      <c r="AI35" s="77"/>
    </row>
    <row r="36" ht="15.75" customHeight="1">
      <c r="A36" s="79"/>
      <c r="B36" s="2" t="s">
        <v>96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5"/>
      <c r="AI36" s="77"/>
    </row>
    <row r="37" ht="15.75" customHeight="1">
      <c r="A37" s="79"/>
      <c r="B37" s="2" t="s">
        <v>46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5"/>
      <c r="AI37" s="77"/>
    </row>
    <row r="38" ht="15.75" customHeight="1">
      <c r="A38" s="79"/>
      <c r="B38" s="2" t="s">
        <v>49</v>
      </c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5"/>
      <c r="AI38" s="77"/>
    </row>
    <row r="39" ht="15.75" customHeight="1">
      <c r="A39" s="79"/>
      <c r="B39" s="2" t="s">
        <v>97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5"/>
      <c r="AI39" s="77"/>
    </row>
    <row r="40" ht="15.75" customHeight="1">
      <c r="A40" s="79"/>
      <c r="B40" s="2" t="s">
        <v>98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5"/>
      <c r="AI40" s="77"/>
    </row>
    <row r="41" ht="15.75" customHeight="1">
      <c r="A41" s="79"/>
      <c r="B41" s="77" t="s">
        <v>99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5"/>
      <c r="AI41" s="77"/>
    </row>
    <row r="42" ht="15.75" customHeight="1">
      <c r="A42" s="79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5"/>
      <c r="AI42" s="77"/>
    </row>
    <row r="43" ht="15.75" customHeight="1">
      <c r="A43" s="79"/>
      <c r="B43" s="136" t="s">
        <v>100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5"/>
      <c r="AI43" s="77"/>
    </row>
    <row r="44" ht="15.75" customHeight="1">
      <c r="A44" s="79"/>
      <c r="B44" s="77" t="s">
        <v>101</v>
      </c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5"/>
      <c r="AI44" s="77"/>
    </row>
    <row r="45" ht="15.75" customHeight="1">
      <c r="A45" s="79"/>
      <c r="B45" s="77" t="s">
        <v>102</v>
      </c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5"/>
      <c r="AI45" s="77"/>
    </row>
    <row r="46" ht="15.75" customHeight="1">
      <c r="A46" s="79"/>
      <c r="B46" s="77" t="s">
        <v>103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5"/>
      <c r="AI46" s="77"/>
    </row>
    <row r="47" ht="15.75" customHeight="1">
      <c r="A47" s="79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5"/>
      <c r="AI47" s="77"/>
    </row>
    <row r="48" ht="15.75" customHeight="1">
      <c r="A48" s="79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5"/>
      <c r="AI48" s="77"/>
    </row>
    <row r="49" ht="15.75" customHeight="1">
      <c r="A49" s="79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5"/>
      <c r="AI49" s="77"/>
    </row>
    <row r="50" ht="15.75" customHeight="1">
      <c r="A50" s="79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5"/>
      <c r="AI50" s="77"/>
    </row>
    <row r="51" ht="15.75" customHeight="1">
      <c r="A51" s="79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5"/>
      <c r="AI51" s="77"/>
    </row>
    <row r="52" ht="15.75" customHeight="1">
      <c r="A52" s="79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5"/>
      <c r="AI52" s="77"/>
    </row>
    <row r="53" ht="15.75" customHeight="1">
      <c r="A53" s="79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5"/>
      <c r="AI53" s="77"/>
    </row>
    <row r="54" ht="15.75" customHeight="1">
      <c r="A54" s="79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5"/>
      <c r="AI54" s="77"/>
    </row>
    <row r="55" ht="15.75" customHeight="1">
      <c r="A55" s="79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5"/>
      <c r="AI55" s="77"/>
    </row>
    <row r="56" ht="15.75" customHeight="1">
      <c r="A56" s="79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5"/>
      <c r="AI56" s="77"/>
    </row>
    <row r="57" ht="15.75" customHeight="1">
      <c r="A57" s="79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5"/>
      <c r="AI57" s="77"/>
    </row>
    <row r="58" ht="15.75" customHeight="1">
      <c r="A58" s="79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5"/>
      <c r="AI58" s="77"/>
    </row>
    <row r="59" ht="15.75" customHeight="1">
      <c r="A59" s="79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5"/>
      <c r="AI59" s="77"/>
    </row>
    <row r="60" ht="15.75" customHeight="1">
      <c r="A60" s="79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5"/>
      <c r="AI60" s="77"/>
    </row>
    <row r="61" ht="15.75" customHeight="1">
      <c r="A61" s="79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5"/>
      <c r="AI61" s="77"/>
    </row>
    <row r="62" ht="15.75" customHeight="1">
      <c r="A62" s="79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5"/>
      <c r="AI62" s="77"/>
    </row>
    <row r="63" ht="15.75" customHeight="1">
      <c r="A63" s="79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5"/>
      <c r="AI63" s="77"/>
    </row>
    <row r="64" ht="15.75" customHeight="1">
      <c r="A64" s="79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5"/>
      <c r="AI64" s="77"/>
    </row>
    <row r="65" ht="15.75" customHeight="1">
      <c r="A65" s="79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5"/>
      <c r="AI65" s="77"/>
    </row>
    <row r="66" ht="15.75" customHeight="1">
      <c r="A66" s="79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5"/>
      <c r="AI66" s="77"/>
    </row>
    <row r="67" ht="15.75" customHeight="1">
      <c r="A67" s="79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5"/>
      <c r="AI67" s="77"/>
    </row>
    <row r="68" ht="15.75" customHeight="1">
      <c r="A68" s="79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5"/>
      <c r="AI68" s="77"/>
    </row>
    <row r="69" ht="15.75" customHeight="1">
      <c r="A69" s="79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5"/>
      <c r="AI69" s="77"/>
    </row>
    <row r="70" ht="15.75" customHeight="1">
      <c r="A70" s="79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5"/>
      <c r="AI70" s="77"/>
    </row>
    <row r="71" ht="15.75" customHeight="1">
      <c r="A71" s="79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5"/>
      <c r="AI71" s="77"/>
    </row>
    <row r="72" ht="15.75" customHeight="1">
      <c r="A72" s="79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5"/>
      <c r="AI72" s="77"/>
    </row>
    <row r="73" ht="15.75" customHeight="1">
      <c r="A73" s="79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5"/>
      <c r="AI73" s="77"/>
    </row>
    <row r="74" ht="15.75" customHeight="1">
      <c r="A74" s="79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5"/>
      <c r="AI74" s="77"/>
    </row>
    <row r="75" ht="15.75" customHeight="1">
      <c r="A75" s="79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5"/>
      <c r="AI75" s="77"/>
    </row>
    <row r="76" ht="15.75" customHeight="1">
      <c r="A76" s="79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5"/>
      <c r="AI76" s="77"/>
    </row>
    <row r="77" ht="15.75" customHeight="1">
      <c r="A77" s="79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5"/>
      <c r="AI77" s="77"/>
    </row>
    <row r="78" ht="15.75" customHeight="1">
      <c r="A78" s="79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5"/>
      <c r="AI78" s="77"/>
    </row>
    <row r="79" ht="15.75" customHeight="1">
      <c r="A79" s="79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5"/>
      <c r="AI79" s="77"/>
    </row>
    <row r="80" ht="15.75" customHeight="1">
      <c r="A80" s="79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5"/>
      <c r="AI80" s="77"/>
    </row>
    <row r="81" ht="15.75" customHeight="1">
      <c r="A81" s="79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5"/>
      <c r="AI81" s="77"/>
    </row>
    <row r="82" ht="15.75" customHeight="1">
      <c r="A82" s="79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5"/>
      <c r="AI82" s="77"/>
    </row>
    <row r="83" ht="15.75" customHeight="1">
      <c r="A83" s="79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5"/>
      <c r="AI83" s="77"/>
    </row>
    <row r="84" ht="15.75" customHeight="1">
      <c r="A84" s="79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5"/>
      <c r="AI84" s="77"/>
    </row>
    <row r="85" ht="15.75" customHeight="1">
      <c r="A85" s="79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5"/>
      <c r="AI85" s="77"/>
    </row>
    <row r="86" ht="15.75" customHeight="1">
      <c r="A86" s="79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5"/>
      <c r="AI86" s="77"/>
    </row>
    <row r="87" ht="15.75" customHeight="1">
      <c r="A87" s="79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5"/>
      <c r="AI87" s="77"/>
    </row>
    <row r="88" ht="15.75" customHeight="1">
      <c r="A88" s="79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5"/>
      <c r="AI88" s="77"/>
    </row>
    <row r="89" ht="15.75" customHeight="1">
      <c r="A89" s="79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5"/>
      <c r="AI89" s="77"/>
    </row>
    <row r="90" ht="15.75" customHeight="1">
      <c r="A90" s="79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5"/>
      <c r="AI90" s="77"/>
    </row>
    <row r="91" ht="15.75" customHeight="1">
      <c r="A91" s="79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5"/>
      <c r="AI91" s="77"/>
    </row>
    <row r="92" ht="15.75" customHeight="1">
      <c r="A92" s="79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5"/>
      <c r="AI92" s="77"/>
    </row>
    <row r="93" ht="15.75" customHeight="1">
      <c r="A93" s="79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5"/>
      <c r="AI93" s="77"/>
    </row>
    <row r="94" ht="15.75" customHeight="1">
      <c r="A94" s="79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5"/>
      <c r="AI94" s="77"/>
    </row>
    <row r="95" ht="15.75" customHeight="1">
      <c r="A95" s="79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5"/>
      <c r="AI95" s="77"/>
    </row>
    <row r="96" ht="15.75" customHeight="1">
      <c r="A96" s="79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5"/>
      <c r="AI96" s="77"/>
    </row>
    <row r="97" ht="15.75" customHeight="1">
      <c r="A97" s="79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5"/>
      <c r="AI97" s="77"/>
    </row>
    <row r="98" ht="15.75" customHeight="1">
      <c r="A98" s="79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5"/>
      <c r="AI98" s="77"/>
    </row>
    <row r="99" ht="15.75" customHeight="1">
      <c r="A99" s="79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5"/>
      <c r="AI99" s="77"/>
    </row>
    <row r="100" ht="15.75" customHeight="1">
      <c r="A100" s="79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5"/>
      <c r="AI100" s="77"/>
    </row>
    <row r="101" ht="15.75" customHeight="1">
      <c r="A101" s="79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5"/>
      <c r="AI101" s="77"/>
    </row>
    <row r="102" ht="15.75" customHeight="1">
      <c r="A102" s="79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5"/>
      <c r="AI102" s="77"/>
    </row>
    <row r="103" ht="15.75" customHeight="1">
      <c r="A103" s="79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5"/>
      <c r="AI103" s="77"/>
    </row>
    <row r="104" ht="15.75" customHeight="1">
      <c r="A104" s="79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5"/>
      <c r="AI104" s="77"/>
    </row>
    <row r="105" ht="15.75" customHeight="1">
      <c r="A105" s="79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5"/>
      <c r="AI105" s="77"/>
    </row>
    <row r="106" ht="15.75" customHeight="1">
      <c r="A106" s="79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5"/>
      <c r="AI106" s="77"/>
    </row>
    <row r="107" ht="15.75" customHeight="1">
      <c r="A107" s="79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5"/>
      <c r="AI107" s="77"/>
    </row>
    <row r="108" ht="15.75" customHeight="1">
      <c r="A108" s="79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5"/>
      <c r="AI108" s="77"/>
    </row>
    <row r="109" ht="15.75" customHeight="1">
      <c r="A109" s="79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5"/>
      <c r="AI109" s="77"/>
    </row>
    <row r="110" ht="15.75" customHeight="1">
      <c r="A110" s="79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5"/>
      <c r="AI110" s="77"/>
    </row>
    <row r="111" ht="15.75" customHeight="1">
      <c r="A111" s="79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5"/>
      <c r="AI111" s="77"/>
    </row>
    <row r="112" ht="15.75" customHeight="1">
      <c r="A112" s="79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5"/>
      <c r="AI112" s="77"/>
    </row>
    <row r="113" ht="15.75" customHeight="1">
      <c r="A113" s="79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5"/>
      <c r="AI113" s="77"/>
    </row>
    <row r="114" ht="15.75" customHeight="1">
      <c r="A114" s="79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5"/>
      <c r="AI114" s="77"/>
    </row>
    <row r="115" ht="15.75" customHeight="1">
      <c r="A115" s="79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5"/>
      <c r="AI115" s="77"/>
    </row>
    <row r="116" ht="15.75" customHeight="1">
      <c r="A116" s="79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5"/>
      <c r="AI116" s="77"/>
    </row>
    <row r="117" ht="15.75" customHeight="1">
      <c r="A117" s="79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5"/>
      <c r="AI117" s="77"/>
    </row>
    <row r="118" ht="15.75" customHeight="1">
      <c r="A118" s="79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5"/>
      <c r="AI118" s="77"/>
    </row>
    <row r="119" ht="15.75" customHeight="1">
      <c r="A119" s="79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5"/>
      <c r="AI119" s="77"/>
    </row>
    <row r="120" ht="15.75" customHeight="1">
      <c r="A120" s="79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5"/>
      <c r="AI120" s="77"/>
    </row>
    <row r="121" ht="15.75" customHeight="1">
      <c r="A121" s="79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5"/>
      <c r="AI121" s="77"/>
    </row>
    <row r="122" ht="15.75" customHeight="1">
      <c r="A122" s="79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5"/>
      <c r="AI122" s="77"/>
    </row>
    <row r="123" ht="15.75" customHeight="1">
      <c r="A123" s="79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5"/>
      <c r="AI123" s="77"/>
    </row>
    <row r="124" ht="15.75" customHeight="1">
      <c r="A124" s="79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5"/>
      <c r="AI124" s="77"/>
    </row>
    <row r="125" ht="15.75" customHeight="1">
      <c r="A125" s="79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5"/>
      <c r="AI125" s="77"/>
    </row>
    <row r="126" ht="15.75" customHeight="1">
      <c r="A126" s="79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5"/>
      <c r="AI126" s="77"/>
    </row>
    <row r="127" ht="15.75" customHeight="1">
      <c r="A127" s="79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5"/>
      <c r="AI127" s="77"/>
    </row>
    <row r="128" ht="15.75" customHeight="1">
      <c r="A128" s="79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5"/>
      <c r="AI128" s="77"/>
    </row>
    <row r="129" ht="15.75" customHeight="1">
      <c r="A129" s="79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5"/>
      <c r="AI129" s="77"/>
    </row>
    <row r="130" ht="15.75" customHeight="1">
      <c r="A130" s="79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5"/>
      <c r="AI130" s="77"/>
    </row>
    <row r="131" ht="15.75" customHeight="1">
      <c r="A131" s="79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5"/>
      <c r="AI131" s="77"/>
    </row>
    <row r="132" ht="15.75" customHeight="1">
      <c r="A132" s="79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5"/>
      <c r="AI132" s="77"/>
    </row>
    <row r="133" ht="15.75" customHeight="1">
      <c r="A133" s="79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5"/>
      <c r="AI133" s="77"/>
    </row>
    <row r="134" ht="15.75" customHeight="1">
      <c r="A134" s="79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5"/>
      <c r="AI134" s="77"/>
    </row>
    <row r="135" ht="15.75" customHeight="1">
      <c r="A135" s="79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5"/>
      <c r="AI135" s="77"/>
    </row>
    <row r="136" ht="15.75" customHeight="1">
      <c r="A136" s="79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5"/>
      <c r="AI136" s="77"/>
    </row>
    <row r="137" ht="15.75" customHeight="1">
      <c r="A137" s="79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5"/>
      <c r="AI137" s="77"/>
    </row>
    <row r="138" ht="15.75" customHeight="1">
      <c r="A138" s="79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5"/>
      <c r="AI138" s="77"/>
    </row>
    <row r="139" ht="15.75" customHeight="1">
      <c r="A139" s="79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5"/>
      <c r="AI139" s="77"/>
    </row>
    <row r="140" ht="15.75" customHeight="1">
      <c r="A140" s="79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5"/>
      <c r="AI140" s="77"/>
    </row>
    <row r="141" ht="15.75" customHeight="1">
      <c r="A141" s="79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5"/>
      <c r="AI141" s="77"/>
    </row>
    <row r="142" ht="15.75" customHeight="1">
      <c r="A142" s="79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5"/>
      <c r="AI142" s="77"/>
    </row>
    <row r="143" ht="15.75" customHeight="1">
      <c r="A143" s="79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5"/>
      <c r="AI143" s="77"/>
    </row>
    <row r="144" ht="15.75" customHeight="1">
      <c r="A144" s="79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5"/>
      <c r="AI144" s="77"/>
    </row>
    <row r="145" ht="15.75" customHeight="1">
      <c r="A145" s="79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5"/>
      <c r="AI145" s="77"/>
    </row>
    <row r="146" ht="15.75" customHeight="1">
      <c r="A146" s="79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5"/>
      <c r="AI146" s="77"/>
    </row>
    <row r="147" ht="15.75" customHeight="1">
      <c r="A147" s="79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5"/>
      <c r="AI147" s="77"/>
    </row>
    <row r="148" ht="15.75" customHeight="1">
      <c r="A148" s="79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5"/>
      <c r="AI148" s="77"/>
    </row>
    <row r="149" ht="15.75" customHeight="1">
      <c r="A149" s="79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5"/>
      <c r="AI149" s="77"/>
    </row>
    <row r="150" ht="15.75" customHeight="1">
      <c r="A150" s="79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5"/>
      <c r="AI150" s="77"/>
    </row>
    <row r="151" ht="15.75" customHeight="1">
      <c r="A151" s="79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5"/>
      <c r="AI151" s="77"/>
    </row>
    <row r="152" ht="15.75" customHeight="1">
      <c r="A152" s="79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5"/>
      <c r="AI152" s="77"/>
    </row>
    <row r="153" ht="15.75" customHeight="1">
      <c r="A153" s="79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5"/>
      <c r="AI153" s="77"/>
    </row>
    <row r="154" ht="15.75" customHeight="1">
      <c r="A154" s="79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5"/>
      <c r="AI154" s="77"/>
    </row>
    <row r="155" ht="15.75" customHeight="1">
      <c r="A155" s="79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5"/>
      <c r="AI155" s="77"/>
    </row>
    <row r="156" ht="15.75" customHeight="1">
      <c r="A156" s="79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5"/>
      <c r="AI156" s="77"/>
    </row>
    <row r="157" ht="15.75" customHeight="1">
      <c r="A157" s="79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5"/>
      <c r="AI157" s="77"/>
    </row>
    <row r="158" ht="15.75" customHeight="1">
      <c r="A158" s="79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5"/>
      <c r="AI158" s="77"/>
    </row>
    <row r="159" ht="15.75" customHeight="1">
      <c r="A159" s="79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5"/>
      <c r="AI159" s="77"/>
    </row>
    <row r="160" ht="15.75" customHeight="1">
      <c r="A160" s="79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5"/>
      <c r="AI160" s="77"/>
    </row>
    <row r="161" ht="15.75" customHeight="1">
      <c r="A161" s="79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5"/>
      <c r="AI161" s="77"/>
    </row>
    <row r="162" ht="15.75" customHeight="1">
      <c r="A162" s="79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5"/>
      <c r="AI162" s="77"/>
    </row>
    <row r="163" ht="15.75" customHeight="1">
      <c r="A163" s="79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5"/>
      <c r="AI163" s="77"/>
    </row>
    <row r="164" ht="15.75" customHeight="1">
      <c r="A164" s="79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5"/>
      <c r="AI164" s="77"/>
    </row>
    <row r="165" ht="15.75" customHeight="1">
      <c r="A165" s="79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5"/>
      <c r="AI165" s="77"/>
    </row>
    <row r="166" ht="15.75" customHeight="1">
      <c r="A166" s="79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5"/>
      <c r="AI166" s="77"/>
    </row>
    <row r="167" ht="15.75" customHeight="1">
      <c r="A167" s="79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5"/>
      <c r="AI167" s="77"/>
    </row>
    <row r="168" ht="15.75" customHeight="1">
      <c r="A168" s="79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5"/>
      <c r="AI168" s="77"/>
    </row>
    <row r="169" ht="15.75" customHeight="1">
      <c r="A169" s="79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5"/>
      <c r="AI169" s="77"/>
    </row>
    <row r="170" ht="15.75" customHeight="1">
      <c r="A170" s="79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5"/>
      <c r="AI170" s="77"/>
    </row>
    <row r="171" ht="15.75" customHeight="1">
      <c r="A171" s="79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5"/>
      <c r="AI171" s="77"/>
    </row>
    <row r="172" ht="15.75" customHeight="1">
      <c r="A172" s="79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5"/>
      <c r="AI172" s="77"/>
    </row>
    <row r="173" ht="15.75" customHeight="1">
      <c r="A173" s="79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5"/>
      <c r="AI173" s="77"/>
    </row>
    <row r="174" ht="15.75" customHeight="1">
      <c r="A174" s="79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5"/>
      <c r="AI174" s="77"/>
    </row>
    <row r="175" ht="15.75" customHeight="1">
      <c r="A175" s="79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5"/>
      <c r="AI175" s="77"/>
    </row>
    <row r="176" ht="15.75" customHeight="1">
      <c r="A176" s="79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5"/>
      <c r="AI176" s="77"/>
    </row>
    <row r="177" ht="15.75" customHeight="1">
      <c r="A177" s="79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5"/>
      <c r="AI177" s="77"/>
    </row>
    <row r="178" ht="15.75" customHeight="1">
      <c r="A178" s="79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5"/>
      <c r="AI178" s="77"/>
    </row>
    <row r="179" ht="15.75" customHeight="1">
      <c r="A179" s="79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5"/>
      <c r="AI179" s="77"/>
    </row>
    <row r="180" ht="15.75" customHeight="1">
      <c r="A180" s="79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5"/>
      <c r="AI180" s="77"/>
    </row>
    <row r="181" ht="15.75" customHeight="1">
      <c r="A181" s="79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5"/>
      <c r="AI181" s="77"/>
    </row>
    <row r="182" ht="15.75" customHeight="1">
      <c r="A182" s="79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5"/>
      <c r="AI182" s="77"/>
    </row>
    <row r="183" ht="15.75" customHeight="1">
      <c r="A183" s="79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5"/>
      <c r="AI183" s="77"/>
    </row>
    <row r="184" ht="15.75" customHeight="1">
      <c r="A184" s="79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5"/>
      <c r="AI184" s="77"/>
    </row>
    <row r="185" ht="15.75" customHeight="1">
      <c r="A185" s="79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5"/>
      <c r="AI185" s="77"/>
    </row>
    <row r="186" ht="15.75" customHeight="1">
      <c r="A186" s="79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5"/>
      <c r="AI186" s="77"/>
    </row>
    <row r="187" ht="15.75" customHeight="1">
      <c r="A187" s="79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5"/>
      <c r="AI187" s="77"/>
    </row>
    <row r="188" ht="15.75" customHeight="1">
      <c r="A188" s="79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5"/>
      <c r="AI188" s="77"/>
    </row>
    <row r="189" ht="15.75" customHeight="1">
      <c r="A189" s="79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5"/>
      <c r="AI189" s="77"/>
    </row>
    <row r="190" ht="15.75" customHeight="1">
      <c r="A190" s="79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5"/>
      <c r="AI190" s="77"/>
    </row>
    <row r="191" ht="15.75" customHeight="1">
      <c r="A191" s="79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5"/>
      <c r="AI191" s="77"/>
    </row>
    <row r="192" ht="15.75" customHeight="1">
      <c r="A192" s="79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5"/>
      <c r="AI192" s="77"/>
    </row>
    <row r="193" ht="15.75" customHeight="1">
      <c r="A193" s="79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5"/>
      <c r="AI193" s="77"/>
    </row>
    <row r="194" ht="15.75" customHeight="1">
      <c r="A194" s="79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5"/>
      <c r="AI194" s="77"/>
    </row>
    <row r="195" ht="15.75" customHeight="1">
      <c r="A195" s="79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5"/>
      <c r="AI195" s="77"/>
    </row>
    <row r="196" ht="15.75" customHeight="1">
      <c r="A196" s="79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5"/>
      <c r="AI196" s="77"/>
    </row>
    <row r="197" ht="15.75" customHeight="1">
      <c r="A197" s="79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5"/>
      <c r="AI197" s="77"/>
    </row>
    <row r="198" ht="15.75" customHeight="1">
      <c r="A198" s="79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5"/>
      <c r="AI198" s="77"/>
    </row>
    <row r="199" ht="15.75" customHeight="1">
      <c r="A199" s="79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5"/>
      <c r="AI199" s="77"/>
    </row>
    <row r="200" ht="15.75" customHeight="1">
      <c r="A200" s="79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5"/>
      <c r="AI200" s="77"/>
    </row>
    <row r="201" ht="15.75" customHeight="1">
      <c r="A201" s="79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5"/>
      <c r="AI201" s="77"/>
    </row>
    <row r="202" ht="15.75" customHeight="1">
      <c r="A202" s="79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5"/>
      <c r="AI202" s="77"/>
    </row>
    <row r="203" ht="15.75" customHeight="1">
      <c r="A203" s="79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5"/>
      <c r="AI203" s="77"/>
    </row>
    <row r="204" ht="15.75" customHeight="1">
      <c r="A204" s="79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5"/>
      <c r="AI204" s="77"/>
    </row>
    <row r="205" ht="15.75" customHeight="1">
      <c r="A205" s="79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5"/>
      <c r="AI205" s="77"/>
    </row>
    <row r="206" ht="15.75" customHeight="1">
      <c r="A206" s="79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5"/>
      <c r="AI206" s="77"/>
    </row>
    <row r="207" ht="15.75" customHeight="1">
      <c r="A207" s="79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5"/>
      <c r="AI207" s="77"/>
    </row>
    <row r="208" ht="15.75" customHeight="1">
      <c r="A208" s="79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5"/>
      <c r="AI208" s="77"/>
    </row>
    <row r="209" ht="15.75" customHeight="1">
      <c r="A209" s="79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5"/>
      <c r="AI209" s="77"/>
    </row>
    <row r="210" ht="15.75" customHeight="1">
      <c r="A210" s="79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5"/>
      <c r="AI210" s="77"/>
    </row>
    <row r="211" ht="15.75" customHeight="1">
      <c r="A211" s="79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5"/>
      <c r="AI211" s="77"/>
    </row>
    <row r="212" ht="15.75" customHeight="1">
      <c r="A212" s="79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5"/>
      <c r="AI212" s="77"/>
    </row>
    <row r="213" ht="15.75" customHeight="1">
      <c r="A213" s="79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5"/>
      <c r="AI213" s="77"/>
    </row>
    <row r="214" ht="15.75" customHeight="1">
      <c r="A214" s="79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5"/>
      <c r="AI214" s="77"/>
    </row>
    <row r="215" ht="15.75" customHeight="1">
      <c r="A215" s="79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5"/>
      <c r="AI215" s="77"/>
    </row>
    <row r="216" ht="15.75" customHeight="1">
      <c r="A216" s="79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5"/>
      <c r="AI216" s="77"/>
    </row>
    <row r="217" ht="15.75" customHeight="1">
      <c r="A217" s="79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5"/>
      <c r="AI217" s="77"/>
    </row>
    <row r="218" ht="15.75" customHeight="1">
      <c r="A218" s="79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5"/>
      <c r="AI218" s="77"/>
    </row>
    <row r="219" ht="15.75" customHeight="1">
      <c r="A219" s="79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5"/>
      <c r="AI219" s="77"/>
    </row>
    <row r="220" ht="15.75" customHeight="1">
      <c r="A220" s="79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5"/>
      <c r="AI220" s="77"/>
    </row>
    <row r="221" ht="15.75" customHeight="1">
      <c r="A221" s="79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5"/>
      <c r="AI221" s="77"/>
    </row>
    <row r="222" ht="15.75" customHeight="1">
      <c r="A222" s="79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5"/>
      <c r="AI222" s="77"/>
    </row>
    <row r="223" ht="15.75" customHeight="1">
      <c r="A223" s="79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5"/>
      <c r="AI223" s="77"/>
    </row>
    <row r="224" ht="15.75" customHeight="1">
      <c r="A224" s="79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5"/>
      <c r="AI224" s="77"/>
    </row>
    <row r="225" ht="15.75" customHeight="1">
      <c r="A225" s="79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5"/>
      <c r="AI225" s="77"/>
    </row>
    <row r="226" ht="15.75" customHeight="1">
      <c r="A226" s="79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5"/>
      <c r="AI226" s="77"/>
    </row>
    <row r="227" ht="15.75" customHeight="1">
      <c r="A227" s="79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5"/>
      <c r="AI227" s="77"/>
    </row>
    <row r="228" ht="15.75" customHeight="1">
      <c r="A228" s="79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5"/>
      <c r="AI228" s="77"/>
    </row>
    <row r="229" ht="15.75" customHeight="1">
      <c r="A229" s="79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5"/>
      <c r="AI229" s="77"/>
    </row>
    <row r="230" ht="15.75" customHeight="1">
      <c r="A230" s="79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5"/>
      <c r="AI230" s="77"/>
    </row>
    <row r="231" ht="15.75" customHeight="1">
      <c r="A231" s="79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5"/>
      <c r="AI231" s="77"/>
    </row>
    <row r="232" ht="15.75" customHeight="1">
      <c r="A232" s="79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5"/>
      <c r="AI232" s="77"/>
    </row>
    <row r="233" ht="15.75" customHeight="1">
      <c r="A233" s="79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5"/>
      <c r="AI233" s="77"/>
    </row>
    <row r="234" ht="15.75" customHeight="1">
      <c r="A234" s="79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5"/>
      <c r="AI234" s="77"/>
    </row>
    <row r="235" ht="15.75" customHeight="1">
      <c r="A235" s="79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5"/>
      <c r="AI235" s="77"/>
    </row>
    <row r="236" ht="15.75" customHeight="1">
      <c r="A236" s="79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5"/>
      <c r="AI236" s="77"/>
    </row>
    <row r="237" ht="15.75" customHeight="1">
      <c r="A237" s="79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5"/>
      <c r="AI237" s="77"/>
    </row>
    <row r="238" ht="15.75" customHeight="1">
      <c r="A238" s="79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5"/>
      <c r="AI238" s="77"/>
    </row>
    <row r="239" ht="15.75" customHeight="1">
      <c r="A239" s="79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5"/>
      <c r="AI239" s="77"/>
    </row>
    <row r="240" ht="15.75" customHeight="1">
      <c r="A240" s="79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5"/>
      <c r="AI240" s="77"/>
    </row>
    <row r="241" ht="15.75" customHeight="1">
      <c r="A241" s="79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5"/>
      <c r="AI241" s="77"/>
    </row>
    <row r="242" ht="15.75" customHeight="1">
      <c r="A242" s="79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5"/>
      <c r="AI242" s="77"/>
    </row>
    <row r="243" ht="15.75" customHeight="1">
      <c r="A243" s="79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5"/>
      <c r="AI243" s="77"/>
    </row>
    <row r="244" ht="15.75" customHeight="1">
      <c r="A244" s="79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5"/>
      <c r="AI244" s="77"/>
    </row>
    <row r="245" ht="15.75" customHeight="1">
      <c r="A245" s="79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5"/>
      <c r="AI245" s="77"/>
    </row>
    <row r="246" ht="15.75" customHeight="1">
      <c r="A246" s="79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5"/>
      <c r="AI246" s="77"/>
    </row>
    <row r="247" ht="15.75" customHeight="1">
      <c r="A247" s="79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5"/>
      <c r="AI247" s="77"/>
    </row>
    <row r="248" ht="15.75" customHeight="1">
      <c r="A248" s="79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5"/>
      <c r="AI248" s="77"/>
    </row>
    <row r="249" ht="15.75" customHeight="1">
      <c r="A249" s="79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5"/>
      <c r="AI249" s="77"/>
    </row>
    <row r="250" ht="15.75" customHeight="1">
      <c r="A250" s="79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5"/>
      <c r="AI250" s="77"/>
    </row>
    <row r="251" ht="15.75" customHeight="1">
      <c r="A251" s="79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5"/>
      <c r="AI251" s="77"/>
    </row>
    <row r="252" ht="15.75" customHeight="1">
      <c r="A252" s="79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5"/>
      <c r="AI252" s="77"/>
    </row>
    <row r="253" ht="15.75" customHeight="1">
      <c r="A253" s="79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5"/>
      <c r="AI253" s="77"/>
    </row>
    <row r="254" ht="15.75" customHeight="1">
      <c r="A254" s="79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5"/>
      <c r="AI254" s="77"/>
    </row>
    <row r="255" ht="15.75" customHeight="1">
      <c r="A255" s="79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5"/>
      <c r="AI255" s="77"/>
    </row>
    <row r="256" ht="15.75" customHeight="1">
      <c r="A256" s="79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5"/>
      <c r="AI256" s="77"/>
    </row>
    <row r="257" ht="15.75" customHeight="1">
      <c r="A257" s="79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5"/>
      <c r="AI257" s="77"/>
    </row>
    <row r="258" ht="15.75" customHeight="1">
      <c r="A258" s="79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5"/>
      <c r="AI258" s="77"/>
    </row>
    <row r="259" ht="15.75" customHeight="1">
      <c r="A259" s="79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5"/>
      <c r="AI259" s="77"/>
    </row>
    <row r="260" ht="15.75" customHeight="1">
      <c r="A260" s="79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5"/>
      <c r="AI260" s="77"/>
    </row>
    <row r="261" ht="15.75" customHeight="1">
      <c r="A261" s="79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5"/>
      <c r="AI261" s="77"/>
    </row>
    <row r="262" ht="15.75" customHeight="1">
      <c r="A262" s="79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5"/>
      <c r="AI262" s="77"/>
    </row>
    <row r="263" ht="15.75" customHeight="1">
      <c r="A263" s="79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5"/>
      <c r="AI263" s="77"/>
    </row>
    <row r="264" ht="15.75" customHeight="1">
      <c r="A264" s="79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5"/>
      <c r="AI264" s="77"/>
    </row>
    <row r="265" ht="15.75" customHeight="1">
      <c r="A265" s="79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5"/>
      <c r="AI265" s="77"/>
    </row>
    <row r="266" ht="15.75" customHeight="1">
      <c r="A266" s="79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5"/>
      <c r="AI266" s="77"/>
    </row>
    <row r="267" ht="15.75" customHeight="1">
      <c r="A267" s="79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5"/>
      <c r="AI267" s="77"/>
    </row>
    <row r="268" ht="15.75" customHeight="1">
      <c r="A268" s="79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5"/>
      <c r="AI268" s="77"/>
    </row>
    <row r="269" ht="15.75" customHeight="1">
      <c r="A269" s="79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5"/>
      <c r="AI269" s="77"/>
    </row>
    <row r="270" ht="15.75" customHeight="1">
      <c r="A270" s="79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5"/>
      <c r="AI270" s="77"/>
    </row>
    <row r="271" ht="15.75" customHeight="1">
      <c r="A271" s="79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5"/>
      <c r="AI271" s="77"/>
    </row>
    <row r="272" ht="15.75" customHeight="1">
      <c r="A272" s="79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5"/>
      <c r="AI272" s="77"/>
    </row>
    <row r="273" ht="15.75" customHeight="1">
      <c r="A273" s="79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5"/>
      <c r="AI273" s="77"/>
    </row>
    <row r="274" ht="15.75" customHeight="1">
      <c r="A274" s="79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5"/>
      <c r="AI274" s="77"/>
    </row>
    <row r="275" ht="15.75" customHeight="1">
      <c r="A275" s="79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5"/>
      <c r="AI275" s="77"/>
    </row>
    <row r="276" ht="15.75" customHeight="1">
      <c r="A276" s="79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5"/>
      <c r="AI276" s="77"/>
    </row>
    <row r="277" ht="15.75" customHeight="1">
      <c r="A277" s="79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5"/>
      <c r="AI277" s="77"/>
    </row>
    <row r="278" ht="15.75" customHeight="1">
      <c r="A278" s="79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5"/>
      <c r="AI278" s="77"/>
    </row>
    <row r="279" ht="15.75" customHeight="1">
      <c r="A279" s="79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5"/>
      <c r="AI279" s="77"/>
    </row>
    <row r="280" ht="15.75" customHeight="1">
      <c r="A280" s="79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5"/>
      <c r="AI280" s="77"/>
    </row>
    <row r="281" ht="15.75" customHeight="1">
      <c r="A281" s="79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5"/>
      <c r="AI281" s="77"/>
    </row>
    <row r="282" ht="15.75" customHeight="1">
      <c r="A282" s="79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5"/>
      <c r="AI282" s="77"/>
    </row>
    <row r="283" ht="15.75" customHeight="1">
      <c r="A283" s="79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5"/>
      <c r="AI283" s="77"/>
    </row>
    <row r="284" ht="15.75" customHeight="1">
      <c r="A284" s="79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5"/>
      <c r="AI284" s="77"/>
    </row>
    <row r="285" ht="15.75" customHeight="1">
      <c r="A285" s="79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5"/>
      <c r="AI285" s="77"/>
    </row>
    <row r="286" ht="15.75" customHeight="1">
      <c r="A286" s="79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5"/>
      <c r="AI286" s="77"/>
    </row>
    <row r="287" ht="15.75" customHeight="1">
      <c r="A287" s="79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5"/>
      <c r="AI287" s="77"/>
    </row>
    <row r="288" ht="15.75" customHeight="1">
      <c r="A288" s="79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5"/>
      <c r="AI288" s="77"/>
    </row>
    <row r="289" ht="15.75" customHeight="1">
      <c r="A289" s="79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5"/>
      <c r="AI289" s="77"/>
    </row>
    <row r="290" ht="15.75" customHeight="1">
      <c r="A290" s="79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5"/>
      <c r="AI290" s="77"/>
    </row>
    <row r="291" ht="15.75" customHeight="1">
      <c r="A291" s="79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5"/>
      <c r="AI291" s="77"/>
    </row>
    <row r="292" ht="15.75" customHeight="1">
      <c r="A292" s="79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5"/>
      <c r="AI292" s="77"/>
    </row>
    <row r="293" ht="15.75" customHeight="1">
      <c r="A293" s="79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5"/>
      <c r="AI293" s="77"/>
    </row>
    <row r="294" ht="15.75" customHeight="1">
      <c r="A294" s="79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5"/>
      <c r="AI294" s="77"/>
    </row>
    <row r="295" ht="15.75" customHeight="1">
      <c r="A295" s="79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5"/>
      <c r="AI295" s="77"/>
    </row>
    <row r="296" ht="15.75" customHeight="1">
      <c r="A296" s="79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5"/>
      <c r="AI296" s="77"/>
    </row>
    <row r="297" ht="15.75" customHeight="1">
      <c r="A297" s="79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5"/>
      <c r="AI297" s="77"/>
    </row>
    <row r="298" ht="15.75" customHeight="1">
      <c r="A298" s="79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5"/>
      <c r="AI298" s="77"/>
    </row>
    <row r="299" ht="15.75" customHeight="1">
      <c r="A299" s="79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5"/>
      <c r="AI299" s="77"/>
    </row>
    <row r="300" ht="15.75" customHeight="1">
      <c r="A300" s="79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5"/>
      <c r="AI300" s="77"/>
    </row>
    <row r="301" ht="15.75" customHeight="1">
      <c r="A301" s="79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5"/>
      <c r="AI301" s="77"/>
    </row>
    <row r="302" ht="15.75" customHeight="1">
      <c r="A302" s="79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5"/>
      <c r="AI302" s="77"/>
    </row>
    <row r="303" ht="15.75" customHeight="1">
      <c r="A303" s="79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5"/>
      <c r="AI303" s="77"/>
    </row>
    <row r="304" ht="15.75" customHeight="1">
      <c r="A304" s="79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5"/>
      <c r="AI304" s="77"/>
    </row>
    <row r="305" ht="15.75" customHeight="1">
      <c r="A305" s="79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5"/>
      <c r="AI305" s="77"/>
    </row>
    <row r="306" ht="15.75" customHeight="1">
      <c r="A306" s="79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5"/>
      <c r="AI306" s="77"/>
    </row>
    <row r="307" ht="15.75" customHeight="1">
      <c r="A307" s="79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5"/>
      <c r="AI307" s="77"/>
    </row>
    <row r="308" ht="15.75" customHeight="1">
      <c r="A308" s="79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5"/>
      <c r="AI308" s="77"/>
    </row>
    <row r="309" ht="15.75" customHeight="1">
      <c r="A309" s="79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5"/>
      <c r="AI309" s="77"/>
    </row>
    <row r="310" ht="15.75" customHeight="1">
      <c r="A310" s="79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5"/>
      <c r="AI310" s="77"/>
    </row>
    <row r="311" ht="15.75" customHeight="1">
      <c r="A311" s="79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5"/>
      <c r="AI311" s="77"/>
    </row>
    <row r="312" ht="15.75" customHeight="1">
      <c r="A312" s="79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5"/>
      <c r="AI312" s="77"/>
    </row>
    <row r="313" ht="15.75" customHeight="1">
      <c r="A313" s="79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5"/>
      <c r="AI313" s="77"/>
    </row>
    <row r="314" ht="15.75" customHeight="1">
      <c r="A314" s="79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5"/>
      <c r="AI314" s="77"/>
    </row>
    <row r="315" ht="15.75" customHeight="1">
      <c r="A315" s="79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5"/>
      <c r="AI315" s="77"/>
    </row>
    <row r="316" ht="15.75" customHeight="1">
      <c r="A316" s="79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5"/>
      <c r="AI316" s="77"/>
    </row>
    <row r="317" ht="15.75" customHeight="1">
      <c r="A317" s="79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5"/>
      <c r="AI317" s="77"/>
    </row>
    <row r="318" ht="15.75" customHeight="1">
      <c r="A318" s="79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5"/>
      <c r="AI318" s="77"/>
    </row>
    <row r="319" ht="15.75" customHeight="1">
      <c r="A319" s="79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5"/>
      <c r="AI319" s="77"/>
    </row>
    <row r="320" ht="15.75" customHeight="1">
      <c r="A320" s="79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5"/>
      <c r="AI320" s="77"/>
    </row>
    <row r="321" ht="15.75" customHeight="1">
      <c r="A321" s="79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5"/>
      <c r="AI321" s="77"/>
    </row>
    <row r="322" ht="15.75" customHeight="1">
      <c r="A322" s="79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5"/>
      <c r="AI322" s="77"/>
    </row>
    <row r="323" ht="15.75" customHeight="1">
      <c r="A323" s="79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5"/>
      <c r="AI323" s="77"/>
    </row>
    <row r="324" ht="15.75" customHeight="1">
      <c r="A324" s="79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5"/>
      <c r="AI324" s="77"/>
    </row>
    <row r="325" ht="15.75" customHeight="1">
      <c r="A325" s="79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5"/>
      <c r="AI325" s="77"/>
    </row>
    <row r="326" ht="15.75" customHeight="1">
      <c r="A326" s="79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5"/>
      <c r="AI326" s="77"/>
    </row>
    <row r="327" ht="15.75" customHeight="1">
      <c r="A327" s="79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5"/>
      <c r="AI327" s="77"/>
    </row>
    <row r="328" ht="15.75" customHeight="1">
      <c r="A328" s="79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5"/>
      <c r="AI328" s="77"/>
    </row>
    <row r="329" ht="15.75" customHeight="1">
      <c r="A329" s="79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5"/>
      <c r="AI329" s="77"/>
    </row>
    <row r="330" ht="15.75" customHeight="1">
      <c r="A330" s="79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5"/>
      <c r="AI330" s="77"/>
    </row>
    <row r="331" ht="15.75" customHeight="1">
      <c r="A331" s="79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5"/>
      <c r="AI331" s="77"/>
    </row>
    <row r="332" ht="15.75" customHeight="1">
      <c r="A332" s="79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5"/>
      <c r="AI332" s="77"/>
    </row>
    <row r="333" ht="15.75" customHeight="1">
      <c r="A333" s="79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5"/>
      <c r="AI333" s="77"/>
    </row>
    <row r="334" ht="15.75" customHeight="1">
      <c r="A334" s="79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5"/>
      <c r="AI334" s="77"/>
    </row>
    <row r="335" ht="15.75" customHeight="1">
      <c r="A335" s="79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5"/>
      <c r="AI335" s="77"/>
    </row>
    <row r="336" ht="15.75" customHeight="1">
      <c r="A336" s="79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5"/>
      <c r="AI336" s="77"/>
    </row>
    <row r="337" ht="15.75" customHeight="1">
      <c r="A337" s="79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5"/>
      <c r="AI337" s="77"/>
    </row>
    <row r="338" ht="15.75" customHeight="1">
      <c r="A338" s="79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5"/>
      <c r="AI338" s="77"/>
    </row>
    <row r="339" ht="15.75" customHeight="1">
      <c r="A339" s="79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5"/>
      <c r="AI339" s="77"/>
    </row>
    <row r="340" ht="15.75" customHeight="1">
      <c r="A340" s="79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5"/>
      <c r="AI340" s="77"/>
    </row>
    <row r="341" ht="15.75" customHeight="1">
      <c r="A341" s="79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5"/>
      <c r="AI341" s="77"/>
    </row>
    <row r="342" ht="15.75" customHeight="1">
      <c r="A342" s="79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5"/>
      <c r="AI342" s="77"/>
    </row>
    <row r="343" ht="15.75" customHeight="1">
      <c r="A343" s="79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5"/>
      <c r="AI343" s="77"/>
    </row>
    <row r="344" ht="15.75" customHeight="1">
      <c r="A344" s="79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5"/>
      <c r="AI344" s="77"/>
    </row>
    <row r="345" ht="15.75" customHeight="1">
      <c r="A345" s="79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5"/>
      <c r="AI345" s="77"/>
    </row>
    <row r="346" ht="15.75" customHeight="1">
      <c r="A346" s="79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5"/>
      <c r="AI346" s="77"/>
    </row>
    <row r="347" ht="15.75" customHeight="1">
      <c r="A347" s="79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5"/>
      <c r="AI347" s="77"/>
    </row>
    <row r="348" ht="15.75" customHeight="1">
      <c r="A348" s="79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5"/>
      <c r="AI348" s="77"/>
    </row>
    <row r="349" ht="15.75" customHeight="1">
      <c r="A349" s="79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5"/>
      <c r="AI349" s="77"/>
    </row>
    <row r="350" ht="15.75" customHeight="1">
      <c r="A350" s="79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5"/>
      <c r="AI350" s="77"/>
    </row>
    <row r="351" ht="15.75" customHeight="1">
      <c r="A351" s="79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5"/>
      <c r="AI351" s="77"/>
    </row>
    <row r="352" ht="15.75" customHeight="1">
      <c r="A352" s="79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5"/>
      <c r="AI352" s="77"/>
    </row>
    <row r="353" ht="15.75" customHeight="1">
      <c r="A353" s="79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5"/>
      <c r="AI353" s="77"/>
    </row>
    <row r="354" ht="15.75" customHeight="1">
      <c r="A354" s="79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5"/>
      <c r="AI354" s="77"/>
    </row>
    <row r="355" ht="15.75" customHeight="1">
      <c r="A355" s="79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5"/>
      <c r="AI355" s="77"/>
    </row>
    <row r="356" ht="15.75" customHeight="1">
      <c r="A356" s="79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5"/>
      <c r="AI356" s="77"/>
    </row>
    <row r="357" ht="15.75" customHeight="1">
      <c r="A357" s="79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5"/>
      <c r="AI357" s="77"/>
    </row>
    <row r="358" ht="15.75" customHeight="1">
      <c r="A358" s="79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5"/>
      <c r="AI358" s="77"/>
    </row>
    <row r="359" ht="15.75" customHeight="1">
      <c r="A359" s="79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5"/>
      <c r="AI359" s="77"/>
    </row>
    <row r="360" ht="15.75" customHeight="1">
      <c r="A360" s="79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5"/>
      <c r="AI360" s="77"/>
    </row>
    <row r="361" ht="15.75" customHeight="1">
      <c r="A361" s="79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5"/>
      <c r="AI361" s="77"/>
    </row>
    <row r="362" ht="15.75" customHeight="1">
      <c r="A362" s="79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5"/>
      <c r="AI362" s="77"/>
    </row>
    <row r="363" ht="15.75" customHeight="1">
      <c r="A363" s="79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5"/>
      <c r="AI363" s="77"/>
    </row>
    <row r="364" ht="15.75" customHeight="1">
      <c r="A364" s="79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5"/>
      <c r="AI364" s="77"/>
    </row>
    <row r="365" ht="15.75" customHeight="1">
      <c r="A365" s="79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5"/>
      <c r="AI365" s="77"/>
    </row>
    <row r="366" ht="15.75" customHeight="1">
      <c r="A366" s="79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5"/>
      <c r="AI366" s="77"/>
    </row>
    <row r="367" ht="15.75" customHeight="1">
      <c r="A367" s="79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5"/>
      <c r="AI367" s="77"/>
    </row>
    <row r="368" ht="15.75" customHeight="1">
      <c r="A368" s="79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5"/>
      <c r="AI368" s="77"/>
    </row>
    <row r="369" ht="15.75" customHeight="1">
      <c r="A369" s="79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5"/>
      <c r="AI369" s="77"/>
    </row>
    <row r="370" ht="15.75" customHeight="1">
      <c r="A370" s="79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5"/>
      <c r="AI370" s="77"/>
    </row>
    <row r="371" ht="15.75" customHeight="1">
      <c r="A371" s="79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5"/>
      <c r="AI371" s="77"/>
    </row>
    <row r="372" ht="15.75" customHeight="1">
      <c r="A372" s="79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5"/>
      <c r="AI372" s="77"/>
    </row>
    <row r="373" ht="15.75" customHeight="1">
      <c r="A373" s="79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5"/>
      <c r="AI373" s="77"/>
    </row>
    <row r="374" ht="15.75" customHeight="1">
      <c r="A374" s="79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5"/>
      <c r="AI374" s="77"/>
    </row>
    <row r="375" ht="15.75" customHeight="1">
      <c r="A375" s="79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5"/>
      <c r="AI375" s="77"/>
    </row>
    <row r="376" ht="15.75" customHeight="1">
      <c r="A376" s="79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5"/>
      <c r="AI376" s="77"/>
    </row>
    <row r="377" ht="15.75" customHeight="1">
      <c r="A377" s="79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5"/>
      <c r="AI377" s="77"/>
    </row>
    <row r="378" ht="15.75" customHeight="1">
      <c r="A378" s="79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5"/>
      <c r="AI378" s="77"/>
    </row>
    <row r="379" ht="15.75" customHeight="1">
      <c r="A379" s="79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5"/>
      <c r="AI379" s="77"/>
    </row>
    <row r="380" ht="15.75" customHeight="1">
      <c r="A380" s="79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5"/>
      <c r="AI380" s="77"/>
    </row>
    <row r="381" ht="15.75" customHeight="1">
      <c r="A381" s="79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5"/>
      <c r="AI381" s="77"/>
    </row>
    <row r="382" ht="15.75" customHeight="1">
      <c r="A382" s="79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5"/>
      <c r="AI382" s="77"/>
    </row>
    <row r="383" ht="15.75" customHeight="1">
      <c r="A383" s="79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5"/>
      <c r="AI383" s="77"/>
    </row>
    <row r="384" ht="15.75" customHeight="1">
      <c r="A384" s="79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5"/>
      <c r="AI384" s="77"/>
    </row>
    <row r="385" ht="15.75" customHeight="1">
      <c r="A385" s="79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5"/>
      <c r="AI385" s="77"/>
    </row>
    <row r="386" ht="15.75" customHeight="1">
      <c r="A386" s="79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5"/>
      <c r="AI386" s="77"/>
    </row>
    <row r="387" ht="15.75" customHeight="1">
      <c r="A387" s="79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5"/>
      <c r="AI387" s="77"/>
    </row>
    <row r="388" ht="15.75" customHeight="1">
      <c r="A388" s="79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5"/>
      <c r="AI388" s="77"/>
    </row>
    <row r="389" ht="15.75" customHeight="1">
      <c r="A389" s="79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5"/>
      <c r="AI389" s="77"/>
    </row>
    <row r="390" ht="15.75" customHeight="1">
      <c r="A390" s="79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5"/>
      <c r="AI390" s="77"/>
    </row>
    <row r="391" ht="15.75" customHeight="1">
      <c r="A391" s="79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5"/>
      <c r="AI391" s="77"/>
    </row>
    <row r="392" ht="15.75" customHeight="1">
      <c r="A392" s="79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5"/>
      <c r="AI392" s="77"/>
    </row>
    <row r="393" ht="15.75" customHeight="1">
      <c r="A393" s="79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5"/>
      <c r="AI393" s="77"/>
    </row>
    <row r="394" ht="15.75" customHeight="1">
      <c r="A394" s="79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5"/>
      <c r="AI394" s="77"/>
    </row>
    <row r="395" ht="15.75" customHeight="1">
      <c r="A395" s="79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5"/>
      <c r="AI395" s="77"/>
    </row>
    <row r="396" ht="15.75" customHeight="1">
      <c r="A396" s="79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5"/>
      <c r="AI396" s="77"/>
    </row>
    <row r="397" ht="15.75" customHeight="1">
      <c r="A397" s="79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5"/>
      <c r="AI397" s="77"/>
    </row>
    <row r="398" ht="15.75" customHeight="1">
      <c r="A398" s="79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5"/>
      <c r="AI398" s="77"/>
    </row>
    <row r="399" ht="15.75" customHeight="1">
      <c r="A399" s="79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5"/>
      <c r="AI399" s="77"/>
    </row>
    <row r="400" ht="15.75" customHeight="1">
      <c r="A400" s="79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5"/>
      <c r="AI400" s="77"/>
    </row>
    <row r="401" ht="15.75" customHeight="1">
      <c r="A401" s="79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5"/>
      <c r="AI401" s="77"/>
    </row>
    <row r="402" ht="15.75" customHeight="1">
      <c r="A402" s="79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5"/>
      <c r="AI402" s="77"/>
    </row>
    <row r="403" ht="15.75" customHeight="1">
      <c r="A403" s="79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5"/>
      <c r="AI403" s="77"/>
    </row>
    <row r="404" ht="15.75" customHeight="1">
      <c r="A404" s="79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5"/>
      <c r="AI404" s="77"/>
    </row>
    <row r="405" ht="15.75" customHeight="1">
      <c r="A405" s="79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5"/>
      <c r="AI405" s="77"/>
    </row>
    <row r="406" ht="15.75" customHeight="1">
      <c r="A406" s="79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5"/>
      <c r="AI406" s="77"/>
    </row>
    <row r="407" ht="15.75" customHeight="1">
      <c r="A407" s="79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5"/>
      <c r="AI407" s="77"/>
    </row>
    <row r="408" ht="15.75" customHeight="1">
      <c r="A408" s="79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5"/>
      <c r="AI408" s="77"/>
    </row>
    <row r="409" ht="15.75" customHeight="1">
      <c r="A409" s="79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5"/>
      <c r="AI409" s="77"/>
    </row>
    <row r="410" ht="15.75" customHeight="1">
      <c r="A410" s="79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5"/>
      <c r="AI410" s="77"/>
    </row>
    <row r="411" ht="15.75" customHeight="1">
      <c r="A411" s="79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5"/>
      <c r="AI411" s="77"/>
    </row>
    <row r="412" ht="15.75" customHeight="1">
      <c r="A412" s="79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5"/>
      <c r="AI412" s="77"/>
    </row>
    <row r="413" ht="15.75" customHeight="1">
      <c r="A413" s="79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5"/>
      <c r="AI413" s="77"/>
    </row>
    <row r="414" ht="15.75" customHeight="1">
      <c r="A414" s="79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5"/>
      <c r="AI414" s="77"/>
    </row>
    <row r="415" ht="15.75" customHeight="1">
      <c r="A415" s="79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5"/>
      <c r="AI415" s="77"/>
    </row>
    <row r="416" ht="15.75" customHeight="1">
      <c r="A416" s="79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5"/>
      <c r="AI416" s="77"/>
    </row>
    <row r="417" ht="15.75" customHeight="1">
      <c r="A417" s="79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5"/>
      <c r="AI417" s="77"/>
    </row>
    <row r="418" ht="15.75" customHeight="1">
      <c r="A418" s="79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5"/>
      <c r="AI418" s="77"/>
    </row>
    <row r="419" ht="15.75" customHeight="1">
      <c r="A419" s="79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5"/>
      <c r="AI419" s="77"/>
    </row>
    <row r="420" ht="15.75" customHeight="1">
      <c r="A420" s="79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5"/>
      <c r="AI420" s="77"/>
    </row>
    <row r="421" ht="15.75" customHeight="1">
      <c r="A421" s="79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5"/>
      <c r="AI421" s="77"/>
    </row>
    <row r="422" ht="15.75" customHeight="1">
      <c r="A422" s="79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5"/>
      <c r="AI422" s="77"/>
    </row>
    <row r="423" ht="15.75" customHeight="1">
      <c r="A423" s="79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5"/>
      <c r="AI423" s="77"/>
    </row>
    <row r="424" ht="15.75" customHeight="1">
      <c r="A424" s="79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5"/>
      <c r="AI424" s="77"/>
    </row>
    <row r="425" ht="15.75" customHeight="1">
      <c r="A425" s="79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5"/>
      <c r="AI425" s="77"/>
    </row>
    <row r="426" ht="15.75" customHeight="1">
      <c r="A426" s="79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5"/>
      <c r="AI426" s="77"/>
    </row>
    <row r="427" ht="15.75" customHeight="1">
      <c r="A427" s="79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5"/>
      <c r="AI427" s="77"/>
    </row>
    <row r="428" ht="15.75" customHeight="1">
      <c r="A428" s="79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5"/>
      <c r="AI428" s="77"/>
    </row>
    <row r="429" ht="15.75" customHeight="1">
      <c r="A429" s="79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5"/>
      <c r="AI429" s="77"/>
    </row>
    <row r="430" ht="15.75" customHeight="1">
      <c r="A430" s="79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5"/>
      <c r="AI430" s="77"/>
    </row>
    <row r="431" ht="15.75" customHeight="1">
      <c r="A431" s="79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5"/>
      <c r="AI431" s="77"/>
    </row>
    <row r="432" ht="15.75" customHeight="1">
      <c r="A432" s="79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5"/>
      <c r="AI432" s="77"/>
    </row>
    <row r="433" ht="15.75" customHeight="1">
      <c r="A433" s="79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5"/>
      <c r="AI433" s="77"/>
    </row>
    <row r="434" ht="15.75" customHeight="1">
      <c r="A434" s="79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5"/>
      <c r="AI434" s="77"/>
    </row>
    <row r="435" ht="15.75" customHeight="1">
      <c r="A435" s="79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5"/>
      <c r="AI435" s="77"/>
    </row>
    <row r="436" ht="15.75" customHeight="1">
      <c r="A436" s="79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5"/>
      <c r="AI436" s="77"/>
    </row>
    <row r="437" ht="15.75" customHeight="1">
      <c r="A437" s="79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5"/>
      <c r="AI437" s="77"/>
    </row>
    <row r="438" ht="15.75" customHeight="1">
      <c r="A438" s="79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5"/>
      <c r="AI438" s="77"/>
    </row>
    <row r="439" ht="15.75" customHeight="1">
      <c r="A439" s="79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5"/>
      <c r="AI439" s="77"/>
    </row>
    <row r="440" ht="15.75" customHeight="1">
      <c r="A440" s="79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5"/>
      <c r="AI440" s="77"/>
    </row>
    <row r="441" ht="15.75" customHeight="1">
      <c r="A441" s="79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5"/>
      <c r="AI441" s="77"/>
    </row>
    <row r="442" ht="15.75" customHeight="1">
      <c r="A442" s="79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5"/>
      <c r="AI442" s="77"/>
    </row>
    <row r="443" ht="15.75" customHeight="1">
      <c r="A443" s="79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5"/>
      <c r="AI443" s="77"/>
    </row>
    <row r="444" ht="15.75" customHeight="1">
      <c r="A444" s="79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5"/>
      <c r="AI444" s="77"/>
    </row>
    <row r="445" ht="15.75" customHeight="1">
      <c r="A445" s="79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5"/>
      <c r="AI445" s="77"/>
    </row>
    <row r="446" ht="15.75" customHeight="1">
      <c r="A446" s="79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5"/>
      <c r="AI446" s="77"/>
    </row>
    <row r="447" ht="15.75" customHeight="1">
      <c r="A447" s="79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5"/>
      <c r="AI447" s="77"/>
    </row>
    <row r="448" ht="15.75" customHeight="1">
      <c r="A448" s="79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5"/>
      <c r="AI448" s="77"/>
    </row>
    <row r="449" ht="15.75" customHeight="1">
      <c r="A449" s="79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5"/>
      <c r="AI449" s="77"/>
    </row>
    <row r="450" ht="15.75" customHeight="1">
      <c r="A450" s="79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5"/>
      <c r="AI450" s="77"/>
    </row>
    <row r="451" ht="15.75" customHeight="1">
      <c r="A451" s="79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5"/>
      <c r="AI451" s="77"/>
    </row>
    <row r="452" ht="15.75" customHeight="1">
      <c r="A452" s="79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5"/>
      <c r="AI452" s="77"/>
    </row>
    <row r="453" ht="15.75" customHeight="1">
      <c r="A453" s="79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5"/>
      <c r="AI453" s="77"/>
    </row>
    <row r="454" ht="15.75" customHeight="1">
      <c r="A454" s="79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5"/>
      <c r="AI454" s="77"/>
    </row>
    <row r="455" ht="15.75" customHeight="1">
      <c r="A455" s="79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5"/>
      <c r="AI455" s="77"/>
    </row>
    <row r="456" ht="15.75" customHeight="1">
      <c r="A456" s="79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5"/>
      <c r="AI456" s="77"/>
    </row>
    <row r="457" ht="15.75" customHeight="1">
      <c r="A457" s="79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5"/>
      <c r="AI457" s="77"/>
    </row>
    <row r="458" ht="15.75" customHeight="1">
      <c r="A458" s="79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5"/>
      <c r="AI458" s="77"/>
    </row>
    <row r="459" ht="15.75" customHeight="1">
      <c r="A459" s="79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5"/>
      <c r="AI459" s="77"/>
    </row>
    <row r="460" ht="15.75" customHeight="1">
      <c r="A460" s="79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5"/>
      <c r="AI460" s="77"/>
    </row>
    <row r="461" ht="15.75" customHeight="1">
      <c r="A461" s="79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5"/>
      <c r="AI461" s="77"/>
    </row>
    <row r="462" ht="15.75" customHeight="1">
      <c r="A462" s="79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5"/>
      <c r="AI462" s="77"/>
    </row>
    <row r="463" ht="15.75" customHeight="1">
      <c r="A463" s="79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5"/>
      <c r="AI463" s="77"/>
    </row>
    <row r="464" ht="15.75" customHeight="1">
      <c r="A464" s="79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5"/>
      <c r="AI464" s="77"/>
    </row>
    <row r="465" ht="15.75" customHeight="1">
      <c r="A465" s="79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5"/>
      <c r="AI465" s="77"/>
    </row>
    <row r="466" ht="15.75" customHeight="1">
      <c r="A466" s="79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5"/>
      <c r="AI466" s="77"/>
    </row>
    <row r="467" ht="15.75" customHeight="1">
      <c r="A467" s="79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5"/>
      <c r="AI467" s="77"/>
    </row>
    <row r="468" ht="15.75" customHeight="1">
      <c r="A468" s="79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5"/>
      <c r="AI468" s="77"/>
    </row>
    <row r="469" ht="15.75" customHeight="1">
      <c r="A469" s="79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5"/>
      <c r="AI469" s="77"/>
    </row>
    <row r="470" ht="15.75" customHeight="1">
      <c r="A470" s="79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5"/>
      <c r="AI470" s="77"/>
    </row>
    <row r="471" ht="15.75" customHeight="1">
      <c r="A471" s="79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5"/>
      <c r="AI471" s="77"/>
    </row>
    <row r="472" ht="15.75" customHeight="1">
      <c r="A472" s="79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5"/>
      <c r="AI472" s="77"/>
    </row>
    <row r="473" ht="15.75" customHeight="1">
      <c r="A473" s="79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5"/>
      <c r="AI473" s="77"/>
    </row>
    <row r="474" ht="15.75" customHeight="1">
      <c r="A474" s="79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5"/>
      <c r="AI474" s="77"/>
    </row>
    <row r="475" ht="15.75" customHeight="1">
      <c r="A475" s="79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5"/>
      <c r="AI475" s="77"/>
    </row>
    <row r="476" ht="15.75" customHeight="1">
      <c r="A476" s="79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5"/>
      <c r="AI476" s="77"/>
    </row>
    <row r="477" ht="15.75" customHeight="1">
      <c r="A477" s="79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5"/>
      <c r="AI477" s="77"/>
    </row>
    <row r="478" ht="15.75" customHeight="1">
      <c r="A478" s="79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5"/>
      <c r="AI478" s="77"/>
    </row>
    <row r="479" ht="15.75" customHeight="1">
      <c r="A479" s="79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5"/>
      <c r="AI479" s="77"/>
    </row>
    <row r="480" ht="15.75" customHeight="1">
      <c r="A480" s="79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5"/>
      <c r="AI480" s="77"/>
    </row>
    <row r="481" ht="15.75" customHeight="1">
      <c r="A481" s="79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5"/>
      <c r="AI481" s="77"/>
    </row>
    <row r="482" ht="15.75" customHeight="1">
      <c r="A482" s="79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5"/>
      <c r="AI482" s="77"/>
    </row>
    <row r="483" ht="15.75" customHeight="1">
      <c r="A483" s="79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5"/>
      <c r="AI483" s="77"/>
    </row>
    <row r="484" ht="15.75" customHeight="1">
      <c r="A484" s="79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5"/>
      <c r="AI484" s="77"/>
    </row>
    <row r="485" ht="15.75" customHeight="1">
      <c r="A485" s="79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5"/>
      <c r="AI485" s="77"/>
    </row>
    <row r="486" ht="15.75" customHeight="1">
      <c r="A486" s="79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5"/>
      <c r="AI486" s="77"/>
    </row>
    <row r="487" ht="15.75" customHeight="1">
      <c r="A487" s="79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5"/>
      <c r="AI487" s="77"/>
    </row>
    <row r="488" ht="15.75" customHeight="1">
      <c r="A488" s="79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5"/>
      <c r="AI488" s="77"/>
    </row>
    <row r="489" ht="15.75" customHeight="1">
      <c r="A489" s="79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5"/>
      <c r="AI489" s="77"/>
    </row>
    <row r="490" ht="15.75" customHeight="1">
      <c r="A490" s="79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5"/>
      <c r="AI490" s="77"/>
    </row>
    <row r="491" ht="15.75" customHeight="1">
      <c r="A491" s="79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5"/>
      <c r="AI491" s="77"/>
    </row>
    <row r="492" ht="15.75" customHeight="1">
      <c r="A492" s="79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5"/>
      <c r="AI492" s="77"/>
    </row>
    <row r="493" ht="15.75" customHeight="1">
      <c r="A493" s="79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5"/>
      <c r="AI493" s="77"/>
    </row>
    <row r="494" ht="15.75" customHeight="1">
      <c r="A494" s="79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5"/>
      <c r="AI494" s="77"/>
    </row>
    <row r="495" ht="15.75" customHeight="1">
      <c r="A495" s="79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5"/>
      <c r="AI495" s="77"/>
    </row>
    <row r="496" ht="15.75" customHeight="1">
      <c r="A496" s="79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5"/>
      <c r="AI496" s="77"/>
    </row>
    <row r="497" ht="15.75" customHeight="1">
      <c r="A497" s="79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5"/>
      <c r="AI497" s="77"/>
    </row>
    <row r="498" ht="15.75" customHeight="1">
      <c r="A498" s="79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5"/>
      <c r="AI498" s="77"/>
    </row>
    <row r="499" ht="15.75" customHeight="1">
      <c r="A499" s="79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5"/>
      <c r="AI499" s="77"/>
    </row>
    <row r="500" ht="15.75" customHeight="1">
      <c r="A500" s="79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5"/>
      <c r="AI500" s="77"/>
    </row>
    <row r="501" ht="15.75" customHeight="1">
      <c r="A501" s="79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5"/>
      <c r="AI501" s="77"/>
    </row>
    <row r="502" ht="15.75" customHeight="1">
      <c r="A502" s="79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5"/>
      <c r="AI502" s="77"/>
    </row>
    <row r="503" ht="15.75" customHeight="1">
      <c r="A503" s="79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5"/>
      <c r="AI503" s="77"/>
    </row>
    <row r="504" ht="15.75" customHeight="1">
      <c r="A504" s="79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5"/>
      <c r="AI504" s="77"/>
    </row>
    <row r="505" ht="15.75" customHeight="1">
      <c r="A505" s="79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5"/>
      <c r="AI505" s="77"/>
    </row>
    <row r="506" ht="15.75" customHeight="1">
      <c r="A506" s="79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5"/>
      <c r="AI506" s="77"/>
    </row>
    <row r="507" ht="15.75" customHeight="1">
      <c r="A507" s="79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5"/>
      <c r="AI507" s="77"/>
    </row>
    <row r="508" ht="15.75" customHeight="1">
      <c r="A508" s="79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5"/>
      <c r="AI508" s="77"/>
    </row>
    <row r="509" ht="15.75" customHeight="1">
      <c r="A509" s="79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5"/>
      <c r="AI509" s="77"/>
    </row>
    <row r="510" ht="15.75" customHeight="1">
      <c r="A510" s="79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5"/>
      <c r="AI510" s="77"/>
    </row>
    <row r="511" ht="15.75" customHeight="1">
      <c r="A511" s="79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5"/>
      <c r="AI511" s="77"/>
    </row>
    <row r="512" ht="15.75" customHeight="1">
      <c r="A512" s="79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5"/>
      <c r="AI512" s="77"/>
    </row>
    <row r="513" ht="15.75" customHeight="1">
      <c r="A513" s="79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5"/>
      <c r="AI513" s="77"/>
    </row>
    <row r="514" ht="15.75" customHeight="1">
      <c r="A514" s="79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5"/>
      <c r="AI514" s="77"/>
    </row>
    <row r="515" ht="15.75" customHeight="1">
      <c r="A515" s="79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5"/>
      <c r="AI515" s="77"/>
    </row>
    <row r="516" ht="15.75" customHeight="1">
      <c r="A516" s="79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5"/>
      <c r="AI516" s="77"/>
    </row>
    <row r="517" ht="15.75" customHeight="1">
      <c r="A517" s="79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5"/>
      <c r="AI517" s="77"/>
    </row>
    <row r="518" ht="15.75" customHeight="1">
      <c r="A518" s="79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5"/>
      <c r="AI518" s="77"/>
    </row>
    <row r="519" ht="15.75" customHeight="1">
      <c r="A519" s="79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5"/>
      <c r="AI519" s="77"/>
    </row>
    <row r="520" ht="15.75" customHeight="1">
      <c r="A520" s="79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5"/>
      <c r="AI520" s="77"/>
    </row>
    <row r="521" ht="15.75" customHeight="1">
      <c r="A521" s="79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5"/>
      <c r="AI521" s="77"/>
    </row>
    <row r="522" ht="15.75" customHeight="1">
      <c r="A522" s="79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5"/>
      <c r="AI522" s="77"/>
    </row>
    <row r="523" ht="15.75" customHeight="1">
      <c r="A523" s="79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5"/>
      <c r="AI523" s="77"/>
    </row>
    <row r="524" ht="15.75" customHeight="1">
      <c r="A524" s="79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5"/>
      <c r="AI524" s="77"/>
    </row>
    <row r="525" ht="15.75" customHeight="1">
      <c r="A525" s="79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5"/>
      <c r="AI525" s="77"/>
    </row>
    <row r="526" ht="15.75" customHeight="1">
      <c r="A526" s="79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5"/>
      <c r="AI526" s="77"/>
    </row>
    <row r="527" ht="15.75" customHeight="1">
      <c r="A527" s="79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5"/>
      <c r="AI527" s="77"/>
    </row>
    <row r="528" ht="15.75" customHeight="1">
      <c r="A528" s="79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5"/>
      <c r="AI528" s="77"/>
    </row>
    <row r="529" ht="15.75" customHeight="1">
      <c r="A529" s="79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5"/>
      <c r="AI529" s="77"/>
    </row>
    <row r="530" ht="15.75" customHeight="1">
      <c r="A530" s="79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5"/>
      <c r="AI530" s="77"/>
    </row>
    <row r="531" ht="15.75" customHeight="1">
      <c r="A531" s="79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5"/>
      <c r="AI531" s="77"/>
    </row>
    <row r="532" ht="15.75" customHeight="1">
      <c r="A532" s="79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5"/>
      <c r="AI532" s="77"/>
    </row>
    <row r="533" ht="15.75" customHeight="1">
      <c r="A533" s="79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5"/>
      <c r="AI533" s="77"/>
    </row>
    <row r="534" ht="15.75" customHeight="1">
      <c r="A534" s="79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5"/>
      <c r="AI534" s="77"/>
    </row>
    <row r="535" ht="15.75" customHeight="1">
      <c r="A535" s="79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5"/>
      <c r="AI535" s="77"/>
    </row>
    <row r="536" ht="15.75" customHeight="1">
      <c r="A536" s="79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5"/>
      <c r="AI536" s="77"/>
    </row>
    <row r="537" ht="15.75" customHeight="1">
      <c r="A537" s="79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5"/>
      <c r="AI537" s="77"/>
    </row>
    <row r="538" ht="15.75" customHeight="1">
      <c r="A538" s="79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5"/>
      <c r="AI538" s="77"/>
    </row>
    <row r="539" ht="15.75" customHeight="1">
      <c r="A539" s="79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5"/>
      <c r="AI539" s="77"/>
    </row>
    <row r="540" ht="15.75" customHeight="1">
      <c r="A540" s="79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5"/>
      <c r="AI540" s="77"/>
    </row>
    <row r="541" ht="15.75" customHeight="1">
      <c r="A541" s="79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5"/>
      <c r="AI541" s="77"/>
    </row>
    <row r="542" ht="15.75" customHeight="1">
      <c r="A542" s="79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5"/>
      <c r="AI542" s="77"/>
    </row>
    <row r="543" ht="15.75" customHeight="1">
      <c r="A543" s="79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5"/>
      <c r="AI543" s="77"/>
    </row>
    <row r="544" ht="15.75" customHeight="1">
      <c r="A544" s="79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5"/>
      <c r="AI544" s="77"/>
    </row>
    <row r="545" ht="15.75" customHeight="1">
      <c r="A545" s="79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5"/>
      <c r="AI545" s="77"/>
    </row>
    <row r="546" ht="15.75" customHeight="1">
      <c r="A546" s="79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5"/>
      <c r="AI546" s="77"/>
    </row>
    <row r="547" ht="15.75" customHeight="1">
      <c r="A547" s="79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5"/>
      <c r="AI547" s="77"/>
    </row>
    <row r="548" ht="15.75" customHeight="1">
      <c r="A548" s="79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5"/>
      <c r="AI548" s="77"/>
    </row>
    <row r="549" ht="15.75" customHeight="1">
      <c r="A549" s="79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5"/>
      <c r="AI549" s="77"/>
    </row>
    <row r="550" ht="15.75" customHeight="1">
      <c r="A550" s="79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5"/>
      <c r="AI550" s="77"/>
    </row>
    <row r="551" ht="15.75" customHeight="1">
      <c r="A551" s="79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5"/>
      <c r="AI551" s="77"/>
    </row>
    <row r="552" ht="15.75" customHeight="1">
      <c r="A552" s="79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5"/>
      <c r="AI552" s="77"/>
    </row>
    <row r="553" ht="15.75" customHeight="1">
      <c r="A553" s="79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5"/>
      <c r="AI553" s="77"/>
    </row>
    <row r="554" ht="15.75" customHeight="1">
      <c r="A554" s="79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5"/>
      <c r="AI554" s="77"/>
    </row>
    <row r="555" ht="15.75" customHeight="1">
      <c r="A555" s="79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5"/>
      <c r="AI555" s="77"/>
    </row>
    <row r="556" ht="15.75" customHeight="1">
      <c r="A556" s="79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5"/>
      <c r="AI556" s="77"/>
    </row>
    <row r="557" ht="15.75" customHeight="1">
      <c r="A557" s="79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5"/>
      <c r="AI557" s="77"/>
    </row>
    <row r="558" ht="15.75" customHeight="1">
      <c r="A558" s="79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5"/>
      <c r="AI558" s="77"/>
    </row>
    <row r="559" ht="15.75" customHeight="1">
      <c r="A559" s="79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5"/>
      <c r="AI559" s="77"/>
    </row>
    <row r="560" ht="15.75" customHeight="1">
      <c r="A560" s="79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5"/>
      <c r="AI560" s="77"/>
    </row>
    <row r="561" ht="15.75" customHeight="1">
      <c r="A561" s="79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5"/>
      <c r="AI561" s="77"/>
    </row>
    <row r="562" ht="15.75" customHeight="1">
      <c r="A562" s="79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5"/>
      <c r="AI562" s="77"/>
    </row>
    <row r="563" ht="15.75" customHeight="1">
      <c r="A563" s="79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5"/>
      <c r="AI563" s="77"/>
    </row>
    <row r="564" ht="15.75" customHeight="1">
      <c r="A564" s="79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5"/>
      <c r="AI564" s="77"/>
    </row>
    <row r="565" ht="15.75" customHeight="1">
      <c r="A565" s="79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5"/>
      <c r="AI565" s="77"/>
    </row>
    <row r="566" ht="15.75" customHeight="1">
      <c r="A566" s="79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5"/>
      <c r="AI566" s="77"/>
    </row>
    <row r="567" ht="15.75" customHeight="1">
      <c r="A567" s="79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5"/>
      <c r="AI567" s="77"/>
    </row>
    <row r="568" ht="15.75" customHeight="1">
      <c r="A568" s="79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5"/>
      <c r="AI568" s="77"/>
    </row>
    <row r="569" ht="15.75" customHeight="1">
      <c r="A569" s="79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5"/>
      <c r="AI569" s="77"/>
    </row>
    <row r="570" ht="15.75" customHeight="1">
      <c r="A570" s="79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5"/>
      <c r="AI570" s="77"/>
    </row>
    <row r="571" ht="15.75" customHeight="1">
      <c r="A571" s="79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5"/>
      <c r="AI571" s="77"/>
    </row>
    <row r="572" ht="15.75" customHeight="1">
      <c r="A572" s="79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5"/>
      <c r="AI572" s="77"/>
    </row>
    <row r="573" ht="15.75" customHeight="1">
      <c r="A573" s="79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5"/>
      <c r="AI573" s="77"/>
    </row>
    <row r="574" ht="15.75" customHeight="1">
      <c r="A574" s="79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5"/>
      <c r="AI574" s="77"/>
    </row>
    <row r="575" ht="15.75" customHeight="1">
      <c r="A575" s="79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5"/>
      <c r="AI575" s="77"/>
    </row>
    <row r="576" ht="15.75" customHeight="1">
      <c r="A576" s="79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5"/>
      <c r="AI576" s="77"/>
    </row>
    <row r="577" ht="15.75" customHeight="1">
      <c r="A577" s="79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5"/>
      <c r="AI577" s="77"/>
    </row>
    <row r="578" ht="15.75" customHeight="1">
      <c r="A578" s="79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5"/>
      <c r="AI578" s="77"/>
    </row>
    <row r="579" ht="15.75" customHeight="1">
      <c r="A579" s="79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5"/>
      <c r="AI579" s="77"/>
    </row>
    <row r="580" ht="15.75" customHeight="1">
      <c r="A580" s="79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5"/>
      <c r="AI580" s="77"/>
    </row>
    <row r="581" ht="15.75" customHeight="1">
      <c r="A581" s="79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5"/>
      <c r="AI581" s="77"/>
    </row>
    <row r="582" ht="15.75" customHeight="1">
      <c r="A582" s="79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5"/>
      <c r="AI582" s="77"/>
    </row>
    <row r="583" ht="15.75" customHeight="1">
      <c r="A583" s="79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5"/>
      <c r="AI583" s="77"/>
    </row>
    <row r="584" ht="15.75" customHeight="1">
      <c r="A584" s="79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5"/>
      <c r="AI584" s="77"/>
    </row>
    <row r="585" ht="15.75" customHeight="1">
      <c r="A585" s="79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5"/>
      <c r="AI585" s="77"/>
    </row>
    <row r="586" ht="15.75" customHeight="1">
      <c r="A586" s="79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5"/>
      <c r="AI586" s="77"/>
    </row>
    <row r="587" ht="15.75" customHeight="1">
      <c r="A587" s="79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5"/>
      <c r="AI587" s="77"/>
    </row>
    <row r="588" ht="15.75" customHeight="1">
      <c r="A588" s="79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5"/>
      <c r="AI588" s="77"/>
    </row>
    <row r="589" ht="15.75" customHeight="1">
      <c r="A589" s="79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5"/>
      <c r="AI589" s="77"/>
    </row>
    <row r="590" ht="15.75" customHeight="1">
      <c r="A590" s="79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5"/>
      <c r="AI590" s="77"/>
    </row>
    <row r="591" ht="15.75" customHeight="1">
      <c r="A591" s="79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5"/>
      <c r="AI591" s="77"/>
    </row>
    <row r="592" ht="15.75" customHeight="1">
      <c r="A592" s="79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5"/>
      <c r="AI592" s="77"/>
    </row>
    <row r="593" ht="15.75" customHeight="1">
      <c r="A593" s="79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5"/>
      <c r="AI593" s="77"/>
    </row>
    <row r="594" ht="15.75" customHeight="1">
      <c r="A594" s="79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5"/>
      <c r="AI594" s="77"/>
    </row>
    <row r="595" ht="15.75" customHeight="1">
      <c r="A595" s="79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5"/>
      <c r="AI595" s="77"/>
    </row>
    <row r="596" ht="15.75" customHeight="1">
      <c r="A596" s="79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5"/>
      <c r="AI596" s="77"/>
    </row>
    <row r="597" ht="15.75" customHeight="1">
      <c r="A597" s="79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5"/>
      <c r="AI597" s="77"/>
    </row>
    <row r="598" ht="15.75" customHeight="1">
      <c r="A598" s="79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5"/>
      <c r="AI598" s="77"/>
    </row>
    <row r="599" ht="15.75" customHeight="1">
      <c r="A599" s="79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5"/>
      <c r="AI599" s="77"/>
    </row>
    <row r="600" ht="15.75" customHeight="1">
      <c r="A600" s="79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5"/>
      <c r="AI600" s="77"/>
    </row>
    <row r="601" ht="15.75" customHeight="1">
      <c r="A601" s="79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5"/>
      <c r="AI601" s="77"/>
    </row>
    <row r="602" ht="15.75" customHeight="1">
      <c r="A602" s="79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5"/>
      <c r="AI602" s="77"/>
    </row>
    <row r="603" ht="15.75" customHeight="1">
      <c r="A603" s="79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5"/>
      <c r="AI603" s="77"/>
    </row>
    <row r="604" ht="15.75" customHeight="1">
      <c r="A604" s="79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5"/>
      <c r="AI604" s="77"/>
    </row>
    <row r="605" ht="15.75" customHeight="1">
      <c r="A605" s="79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5"/>
      <c r="AI605" s="77"/>
    </row>
    <row r="606" ht="15.75" customHeight="1">
      <c r="A606" s="79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5"/>
      <c r="AI606" s="77"/>
    </row>
    <row r="607" ht="15.75" customHeight="1">
      <c r="A607" s="79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5"/>
      <c r="AI607" s="77"/>
    </row>
    <row r="608" ht="15.75" customHeight="1">
      <c r="A608" s="79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5"/>
      <c r="AI608" s="77"/>
    </row>
    <row r="609" ht="15.75" customHeight="1">
      <c r="A609" s="79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5"/>
      <c r="AI609" s="77"/>
    </row>
    <row r="610" ht="15.75" customHeight="1">
      <c r="A610" s="79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5"/>
      <c r="AI610" s="77"/>
    </row>
    <row r="611" ht="15.75" customHeight="1">
      <c r="A611" s="79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5"/>
      <c r="AI611" s="77"/>
    </row>
    <row r="612" ht="15.75" customHeight="1">
      <c r="A612" s="79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5"/>
      <c r="AI612" s="77"/>
    </row>
    <row r="613" ht="15.75" customHeight="1">
      <c r="A613" s="79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5"/>
      <c r="AI613" s="77"/>
    </row>
    <row r="614" ht="15.75" customHeight="1">
      <c r="A614" s="79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5"/>
      <c r="AI614" s="77"/>
    </row>
    <row r="615" ht="15.75" customHeight="1">
      <c r="A615" s="79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5"/>
      <c r="AI615" s="77"/>
    </row>
    <row r="616" ht="15.75" customHeight="1">
      <c r="A616" s="79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5"/>
      <c r="AI616" s="77"/>
    </row>
    <row r="617" ht="15.75" customHeight="1">
      <c r="A617" s="79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5"/>
      <c r="AI617" s="77"/>
    </row>
    <row r="618" ht="15.75" customHeight="1">
      <c r="A618" s="79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5"/>
      <c r="AI618" s="77"/>
    </row>
    <row r="619" ht="15.75" customHeight="1">
      <c r="A619" s="79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5"/>
      <c r="AI619" s="77"/>
    </row>
    <row r="620" ht="15.75" customHeight="1">
      <c r="A620" s="79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5"/>
      <c r="AI620" s="77"/>
    </row>
    <row r="621" ht="15.75" customHeight="1">
      <c r="A621" s="79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5"/>
      <c r="AI621" s="77"/>
    </row>
    <row r="622" ht="15.75" customHeight="1">
      <c r="A622" s="79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5"/>
      <c r="AI622" s="77"/>
    </row>
    <row r="623" ht="15.75" customHeight="1">
      <c r="A623" s="79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5"/>
      <c r="AI623" s="77"/>
    </row>
    <row r="624" ht="15.75" customHeight="1">
      <c r="A624" s="79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5"/>
      <c r="AI624" s="77"/>
    </row>
    <row r="625" ht="15.75" customHeight="1">
      <c r="A625" s="79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5"/>
      <c r="AI625" s="77"/>
    </row>
    <row r="626" ht="15.75" customHeight="1">
      <c r="A626" s="79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5"/>
      <c r="AI626" s="77"/>
    </row>
    <row r="627" ht="15.75" customHeight="1">
      <c r="A627" s="79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5"/>
      <c r="AI627" s="77"/>
    </row>
    <row r="628" ht="15.75" customHeight="1">
      <c r="A628" s="79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5"/>
      <c r="AI628" s="77"/>
    </row>
    <row r="629" ht="15.75" customHeight="1">
      <c r="A629" s="79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5"/>
      <c r="AI629" s="77"/>
    </row>
    <row r="630" ht="15.75" customHeight="1">
      <c r="A630" s="79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5"/>
      <c r="AI630" s="77"/>
    </row>
    <row r="631" ht="15.75" customHeight="1">
      <c r="A631" s="79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5"/>
      <c r="AI631" s="77"/>
    </row>
    <row r="632" ht="15.75" customHeight="1">
      <c r="A632" s="79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5"/>
      <c r="AI632" s="77"/>
    </row>
    <row r="633" ht="15.75" customHeight="1">
      <c r="A633" s="79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5"/>
      <c r="AI633" s="77"/>
    </row>
    <row r="634" ht="15.75" customHeight="1">
      <c r="A634" s="79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5"/>
      <c r="AI634" s="77"/>
    </row>
    <row r="635" ht="15.75" customHeight="1">
      <c r="A635" s="79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5"/>
      <c r="AI635" s="77"/>
    </row>
    <row r="636" ht="15.75" customHeight="1">
      <c r="A636" s="79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5"/>
      <c r="AI636" s="77"/>
    </row>
    <row r="637" ht="15.75" customHeight="1">
      <c r="A637" s="79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5"/>
      <c r="AI637" s="77"/>
    </row>
    <row r="638" ht="15.75" customHeight="1">
      <c r="A638" s="79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5"/>
      <c r="AI638" s="77"/>
    </row>
    <row r="639" ht="15.75" customHeight="1">
      <c r="A639" s="79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5"/>
      <c r="AI639" s="77"/>
    </row>
    <row r="640" ht="15.75" customHeight="1">
      <c r="A640" s="79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5"/>
      <c r="AI640" s="77"/>
    </row>
    <row r="641" ht="15.75" customHeight="1">
      <c r="A641" s="79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5"/>
      <c r="AI641" s="77"/>
    </row>
    <row r="642" ht="15.75" customHeight="1">
      <c r="A642" s="79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5"/>
      <c r="AI642" s="77"/>
    </row>
    <row r="643" ht="15.75" customHeight="1">
      <c r="A643" s="79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5"/>
      <c r="AI643" s="77"/>
    </row>
    <row r="644" ht="15.75" customHeight="1">
      <c r="A644" s="79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5"/>
      <c r="AI644" s="77"/>
    </row>
    <row r="645" ht="15.75" customHeight="1">
      <c r="A645" s="79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5"/>
      <c r="AI645" s="77"/>
    </row>
    <row r="646" ht="15.75" customHeight="1">
      <c r="A646" s="79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5"/>
      <c r="AI646" s="77"/>
    </row>
    <row r="647" ht="15.75" customHeight="1">
      <c r="A647" s="79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5"/>
      <c r="AI647" s="77"/>
    </row>
    <row r="648" ht="15.75" customHeight="1">
      <c r="A648" s="79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5"/>
      <c r="AI648" s="77"/>
    </row>
    <row r="649" ht="15.75" customHeight="1">
      <c r="A649" s="79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5"/>
      <c r="AI649" s="77"/>
    </row>
    <row r="650" ht="15.75" customHeight="1">
      <c r="A650" s="79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5"/>
      <c r="AI650" s="77"/>
    </row>
    <row r="651" ht="15.75" customHeight="1">
      <c r="A651" s="79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5"/>
      <c r="AI651" s="77"/>
    </row>
    <row r="652" ht="15.75" customHeight="1">
      <c r="A652" s="79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5"/>
      <c r="AI652" s="77"/>
    </row>
    <row r="653" ht="15.75" customHeight="1">
      <c r="A653" s="79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5"/>
      <c r="AI653" s="77"/>
    </row>
    <row r="654" ht="15.75" customHeight="1">
      <c r="A654" s="79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5"/>
      <c r="AI654" s="77"/>
    </row>
    <row r="655" ht="15.75" customHeight="1">
      <c r="A655" s="79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5"/>
      <c r="AI655" s="77"/>
    </row>
    <row r="656" ht="15.75" customHeight="1">
      <c r="A656" s="79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5"/>
      <c r="AI656" s="77"/>
    </row>
    <row r="657" ht="15.75" customHeight="1">
      <c r="A657" s="79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5"/>
      <c r="AI657" s="77"/>
    </row>
    <row r="658" ht="15.75" customHeight="1">
      <c r="A658" s="79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5"/>
      <c r="AI658" s="77"/>
    </row>
    <row r="659" ht="15.75" customHeight="1">
      <c r="A659" s="79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5"/>
      <c r="AI659" s="77"/>
    </row>
    <row r="660" ht="15.75" customHeight="1">
      <c r="A660" s="79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5"/>
      <c r="AI660" s="77"/>
    </row>
    <row r="661" ht="15.75" customHeight="1">
      <c r="A661" s="79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5"/>
      <c r="AI661" s="77"/>
    </row>
    <row r="662" ht="15.75" customHeight="1">
      <c r="A662" s="79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5"/>
      <c r="AI662" s="77"/>
    </row>
    <row r="663" ht="15.75" customHeight="1">
      <c r="A663" s="79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5"/>
      <c r="AI663" s="77"/>
    </row>
    <row r="664" ht="15.75" customHeight="1">
      <c r="A664" s="79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5"/>
      <c r="AI664" s="77"/>
    </row>
    <row r="665" ht="15.75" customHeight="1">
      <c r="A665" s="79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5"/>
      <c r="AI665" s="77"/>
    </row>
    <row r="666" ht="15.75" customHeight="1">
      <c r="A666" s="79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5"/>
      <c r="AI666" s="77"/>
    </row>
    <row r="667" ht="15.75" customHeight="1">
      <c r="A667" s="79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5"/>
      <c r="AI667" s="77"/>
    </row>
    <row r="668" ht="15.75" customHeight="1">
      <c r="A668" s="79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5"/>
      <c r="AI668" s="77"/>
    </row>
    <row r="669" ht="15.75" customHeight="1">
      <c r="A669" s="79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5"/>
      <c r="AI669" s="77"/>
    </row>
    <row r="670" ht="15.75" customHeight="1">
      <c r="A670" s="79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5"/>
      <c r="AI670" s="77"/>
    </row>
    <row r="671" ht="15.75" customHeight="1">
      <c r="A671" s="79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5"/>
      <c r="AI671" s="77"/>
    </row>
    <row r="672" ht="15.75" customHeight="1">
      <c r="A672" s="79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5"/>
      <c r="AI672" s="77"/>
    </row>
    <row r="673" ht="15.75" customHeight="1">
      <c r="A673" s="79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5"/>
      <c r="AI673" s="77"/>
    </row>
    <row r="674" ht="15.75" customHeight="1">
      <c r="A674" s="79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5"/>
      <c r="AI674" s="77"/>
    </row>
    <row r="675" ht="15.75" customHeight="1">
      <c r="A675" s="79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5"/>
      <c r="AI675" s="77"/>
    </row>
    <row r="676" ht="15.75" customHeight="1">
      <c r="A676" s="79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5"/>
      <c r="AI676" s="77"/>
    </row>
    <row r="677" ht="15.75" customHeight="1">
      <c r="A677" s="79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5"/>
      <c r="AI677" s="77"/>
    </row>
    <row r="678" ht="15.75" customHeight="1">
      <c r="A678" s="79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5"/>
      <c r="AI678" s="77"/>
    </row>
    <row r="679" ht="15.75" customHeight="1">
      <c r="A679" s="79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5"/>
      <c r="AI679" s="77"/>
    </row>
    <row r="680" ht="15.75" customHeight="1">
      <c r="A680" s="79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5"/>
      <c r="AI680" s="77"/>
    </row>
    <row r="681" ht="15.75" customHeight="1">
      <c r="A681" s="79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5"/>
      <c r="AI681" s="77"/>
    </row>
    <row r="682" ht="15.75" customHeight="1">
      <c r="A682" s="79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5"/>
      <c r="AI682" s="77"/>
    </row>
    <row r="683" ht="15.75" customHeight="1">
      <c r="A683" s="79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5"/>
      <c r="AI683" s="77"/>
    </row>
    <row r="684" ht="15.75" customHeight="1">
      <c r="A684" s="79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5"/>
      <c r="AI684" s="77"/>
    </row>
    <row r="685" ht="15.75" customHeight="1">
      <c r="A685" s="79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5"/>
      <c r="AI685" s="77"/>
    </row>
    <row r="686" ht="15.75" customHeight="1">
      <c r="A686" s="79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5"/>
      <c r="AI686" s="77"/>
    </row>
    <row r="687" ht="15.75" customHeight="1">
      <c r="A687" s="79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5"/>
      <c r="AI687" s="77"/>
    </row>
    <row r="688" ht="15.75" customHeight="1">
      <c r="A688" s="79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5"/>
      <c r="AI688" s="77"/>
    </row>
    <row r="689" ht="15.75" customHeight="1">
      <c r="A689" s="79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5"/>
      <c r="AI689" s="77"/>
    </row>
    <row r="690" ht="15.75" customHeight="1">
      <c r="A690" s="79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5"/>
      <c r="AI690" s="77"/>
    </row>
    <row r="691" ht="15.75" customHeight="1">
      <c r="A691" s="79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5"/>
      <c r="AI691" s="77"/>
    </row>
    <row r="692" ht="15.75" customHeight="1">
      <c r="A692" s="79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5"/>
      <c r="AI692" s="77"/>
    </row>
    <row r="693" ht="15.75" customHeight="1">
      <c r="A693" s="79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5"/>
      <c r="AI693" s="77"/>
    </row>
    <row r="694" ht="15.75" customHeight="1">
      <c r="A694" s="79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5"/>
      <c r="AI694" s="77"/>
    </row>
    <row r="695" ht="15.75" customHeight="1">
      <c r="A695" s="79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5"/>
      <c r="AI695" s="77"/>
    </row>
    <row r="696" ht="15.75" customHeight="1">
      <c r="A696" s="79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5"/>
      <c r="AI696" s="77"/>
    </row>
    <row r="697" ht="15.75" customHeight="1">
      <c r="A697" s="79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5"/>
      <c r="AI697" s="77"/>
    </row>
    <row r="698" ht="15.75" customHeight="1">
      <c r="A698" s="79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5"/>
      <c r="AI698" s="77"/>
    </row>
    <row r="699" ht="15.75" customHeight="1">
      <c r="A699" s="79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5"/>
      <c r="AI699" s="77"/>
    </row>
    <row r="700" ht="15.75" customHeight="1">
      <c r="A700" s="79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5"/>
      <c r="AI700" s="77"/>
    </row>
    <row r="701" ht="15.75" customHeight="1">
      <c r="A701" s="79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5"/>
      <c r="AI701" s="77"/>
    </row>
    <row r="702" ht="15.75" customHeight="1">
      <c r="A702" s="79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5"/>
      <c r="AI702" s="77"/>
    </row>
    <row r="703" ht="15.75" customHeight="1">
      <c r="A703" s="79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5"/>
      <c r="AI703" s="77"/>
    </row>
    <row r="704" ht="15.75" customHeight="1">
      <c r="A704" s="79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5"/>
      <c r="AI704" s="77"/>
    </row>
    <row r="705" ht="15.75" customHeight="1">
      <c r="A705" s="79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5"/>
      <c r="AI705" s="77"/>
    </row>
    <row r="706" ht="15.75" customHeight="1">
      <c r="A706" s="79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5"/>
      <c r="AI706" s="77"/>
    </row>
    <row r="707" ht="15.75" customHeight="1">
      <c r="A707" s="79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5"/>
      <c r="AI707" s="77"/>
    </row>
    <row r="708" ht="15.75" customHeight="1">
      <c r="A708" s="79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5"/>
      <c r="AI708" s="77"/>
    </row>
    <row r="709" ht="15.75" customHeight="1">
      <c r="A709" s="79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5"/>
      <c r="AI709" s="77"/>
    </row>
    <row r="710" ht="15.75" customHeight="1">
      <c r="A710" s="79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5"/>
      <c r="AI710" s="77"/>
    </row>
    <row r="711" ht="15.75" customHeight="1">
      <c r="A711" s="79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5"/>
      <c r="AI711" s="77"/>
    </row>
    <row r="712" ht="15.75" customHeight="1">
      <c r="A712" s="79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5"/>
      <c r="AI712" s="77"/>
    </row>
    <row r="713" ht="15.75" customHeight="1">
      <c r="A713" s="79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5"/>
      <c r="AI713" s="77"/>
    </row>
    <row r="714" ht="15.75" customHeight="1">
      <c r="A714" s="79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5"/>
      <c r="AI714" s="77"/>
    </row>
    <row r="715" ht="15.75" customHeight="1">
      <c r="A715" s="79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5"/>
      <c r="AI715" s="77"/>
    </row>
    <row r="716" ht="15.75" customHeight="1">
      <c r="A716" s="79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5"/>
      <c r="AI716" s="77"/>
    </row>
    <row r="717" ht="15.75" customHeight="1">
      <c r="A717" s="79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5"/>
      <c r="AI717" s="77"/>
    </row>
    <row r="718" ht="15.75" customHeight="1">
      <c r="A718" s="79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5"/>
      <c r="AI718" s="77"/>
    </row>
    <row r="719" ht="15.75" customHeight="1">
      <c r="A719" s="79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5"/>
      <c r="AI719" s="77"/>
    </row>
    <row r="720" ht="15.75" customHeight="1">
      <c r="A720" s="79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5"/>
      <c r="AI720" s="77"/>
    </row>
    <row r="721" ht="15.75" customHeight="1">
      <c r="A721" s="79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5"/>
      <c r="AI721" s="77"/>
    </row>
    <row r="722" ht="15.75" customHeight="1">
      <c r="A722" s="79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5"/>
      <c r="AI722" s="77"/>
    </row>
    <row r="723" ht="15.75" customHeight="1">
      <c r="A723" s="79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5"/>
      <c r="AI723" s="77"/>
    </row>
    <row r="724" ht="15.75" customHeight="1">
      <c r="A724" s="79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5"/>
      <c r="AI724" s="77"/>
    </row>
    <row r="725" ht="15.75" customHeight="1">
      <c r="A725" s="79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5"/>
      <c r="AI725" s="77"/>
    </row>
    <row r="726" ht="15.75" customHeight="1">
      <c r="A726" s="79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5"/>
      <c r="AI726" s="77"/>
    </row>
    <row r="727" ht="15.75" customHeight="1">
      <c r="A727" s="79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5"/>
      <c r="AI727" s="77"/>
    </row>
    <row r="728" ht="15.75" customHeight="1">
      <c r="A728" s="79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5"/>
      <c r="AI728" s="77"/>
    </row>
    <row r="729" ht="15.75" customHeight="1">
      <c r="A729" s="79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5"/>
      <c r="AI729" s="77"/>
    </row>
    <row r="730" ht="15.75" customHeight="1">
      <c r="A730" s="79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5"/>
      <c r="AI730" s="77"/>
    </row>
    <row r="731" ht="15.75" customHeight="1">
      <c r="A731" s="79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5"/>
      <c r="AI731" s="77"/>
    </row>
    <row r="732" ht="15.75" customHeight="1">
      <c r="A732" s="79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5"/>
      <c r="AI732" s="77"/>
    </row>
    <row r="733" ht="15.75" customHeight="1">
      <c r="A733" s="79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5"/>
      <c r="AI733" s="77"/>
    </row>
    <row r="734" ht="15.75" customHeight="1">
      <c r="A734" s="79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5"/>
      <c r="AI734" s="77"/>
    </row>
    <row r="735" ht="15.75" customHeight="1">
      <c r="A735" s="79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5"/>
      <c r="AI735" s="77"/>
    </row>
    <row r="736" ht="15.75" customHeight="1">
      <c r="A736" s="79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5"/>
      <c r="AI736" s="77"/>
    </row>
    <row r="737" ht="15.75" customHeight="1">
      <c r="A737" s="79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5"/>
      <c r="AI737" s="77"/>
    </row>
    <row r="738" ht="15.75" customHeight="1">
      <c r="A738" s="79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5"/>
      <c r="AI738" s="77"/>
    </row>
    <row r="739" ht="15.75" customHeight="1">
      <c r="A739" s="79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5"/>
      <c r="AI739" s="77"/>
    </row>
    <row r="740" ht="15.75" customHeight="1">
      <c r="A740" s="79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5"/>
      <c r="AI740" s="77"/>
    </row>
    <row r="741" ht="15.75" customHeight="1">
      <c r="A741" s="79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5"/>
      <c r="AI741" s="77"/>
    </row>
    <row r="742" ht="15.75" customHeight="1">
      <c r="A742" s="79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5"/>
      <c r="AI742" s="77"/>
    </row>
    <row r="743" ht="15.75" customHeight="1">
      <c r="A743" s="79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5"/>
      <c r="AI743" s="77"/>
    </row>
    <row r="744" ht="15.75" customHeight="1">
      <c r="A744" s="79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5"/>
      <c r="AI744" s="77"/>
    </row>
    <row r="745" ht="15.75" customHeight="1">
      <c r="A745" s="79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5"/>
      <c r="AI745" s="77"/>
    </row>
    <row r="746" ht="15.75" customHeight="1">
      <c r="A746" s="79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5"/>
      <c r="AI746" s="77"/>
    </row>
    <row r="747" ht="15.75" customHeight="1">
      <c r="A747" s="79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5"/>
      <c r="AI747" s="77"/>
    </row>
    <row r="748" ht="15.75" customHeight="1">
      <c r="A748" s="79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5"/>
      <c r="AI748" s="77"/>
    </row>
    <row r="749" ht="15.75" customHeight="1">
      <c r="A749" s="79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5"/>
      <c r="AI749" s="77"/>
    </row>
    <row r="750" ht="15.75" customHeight="1">
      <c r="A750" s="79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5"/>
      <c r="AI750" s="77"/>
    </row>
    <row r="751" ht="15.75" customHeight="1">
      <c r="A751" s="79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5"/>
      <c r="AI751" s="77"/>
    </row>
    <row r="752" ht="15.75" customHeight="1">
      <c r="A752" s="79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5"/>
      <c r="AI752" s="77"/>
    </row>
    <row r="753" ht="15.75" customHeight="1">
      <c r="A753" s="79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5"/>
      <c r="AI753" s="77"/>
    </row>
    <row r="754" ht="15.75" customHeight="1">
      <c r="A754" s="79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5"/>
      <c r="AI754" s="77"/>
    </row>
    <row r="755" ht="15.75" customHeight="1">
      <c r="A755" s="79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5"/>
      <c r="AI755" s="77"/>
    </row>
    <row r="756" ht="15.75" customHeight="1">
      <c r="A756" s="79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5"/>
      <c r="AI756" s="77"/>
    </row>
    <row r="757" ht="15.75" customHeight="1">
      <c r="A757" s="79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5"/>
      <c r="AI757" s="77"/>
    </row>
    <row r="758" ht="15.75" customHeight="1">
      <c r="A758" s="79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5"/>
      <c r="AI758" s="77"/>
    </row>
    <row r="759" ht="15.75" customHeight="1">
      <c r="A759" s="79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5"/>
      <c r="AI759" s="77"/>
    </row>
    <row r="760" ht="15.75" customHeight="1">
      <c r="A760" s="79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5"/>
      <c r="AI760" s="77"/>
    </row>
    <row r="761" ht="15.75" customHeight="1">
      <c r="A761" s="79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5"/>
      <c r="AI761" s="77"/>
    </row>
    <row r="762" ht="15.75" customHeight="1">
      <c r="A762" s="79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5"/>
      <c r="AI762" s="77"/>
    </row>
    <row r="763" ht="15.75" customHeight="1">
      <c r="A763" s="79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5"/>
      <c r="AI763" s="77"/>
    </row>
    <row r="764" ht="15.75" customHeight="1">
      <c r="A764" s="79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5"/>
      <c r="AI764" s="77"/>
    </row>
    <row r="765" ht="15.75" customHeight="1">
      <c r="A765" s="79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5"/>
      <c r="AI765" s="77"/>
    </row>
    <row r="766" ht="15.75" customHeight="1">
      <c r="A766" s="79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5"/>
      <c r="AI766" s="77"/>
    </row>
    <row r="767" ht="15.75" customHeight="1">
      <c r="A767" s="79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5"/>
      <c r="AI767" s="77"/>
    </row>
    <row r="768" ht="15.75" customHeight="1">
      <c r="A768" s="79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5"/>
      <c r="AI768" s="77"/>
    </row>
    <row r="769" ht="15.75" customHeight="1">
      <c r="A769" s="79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5"/>
      <c r="AI769" s="77"/>
    </row>
    <row r="770" ht="15.75" customHeight="1">
      <c r="A770" s="79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5"/>
      <c r="AI770" s="77"/>
    </row>
    <row r="771" ht="15.75" customHeight="1">
      <c r="A771" s="79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5"/>
      <c r="AI771" s="77"/>
    </row>
    <row r="772" ht="15.75" customHeight="1">
      <c r="A772" s="79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5"/>
      <c r="AI772" s="77"/>
    </row>
    <row r="773" ht="15.75" customHeight="1">
      <c r="A773" s="79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5"/>
      <c r="AI773" s="77"/>
    </row>
    <row r="774" ht="15.75" customHeight="1">
      <c r="A774" s="79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5"/>
      <c r="AI774" s="77"/>
    </row>
    <row r="775" ht="15.75" customHeight="1">
      <c r="A775" s="79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5"/>
      <c r="AI775" s="77"/>
    </row>
    <row r="776" ht="15.75" customHeight="1">
      <c r="A776" s="79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5"/>
      <c r="AI776" s="77"/>
    </row>
    <row r="777" ht="15.75" customHeight="1">
      <c r="A777" s="79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5"/>
      <c r="AI777" s="77"/>
    </row>
    <row r="778" ht="15.75" customHeight="1">
      <c r="A778" s="79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5"/>
      <c r="AI778" s="77"/>
    </row>
    <row r="779" ht="15.75" customHeight="1">
      <c r="A779" s="79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5"/>
      <c r="AI779" s="77"/>
    </row>
    <row r="780" ht="15.75" customHeight="1">
      <c r="A780" s="79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5"/>
      <c r="AI780" s="77"/>
    </row>
    <row r="781" ht="15.75" customHeight="1">
      <c r="A781" s="79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5"/>
      <c r="AI781" s="77"/>
    </row>
    <row r="782" ht="15.75" customHeight="1">
      <c r="A782" s="79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5"/>
      <c r="AI782" s="77"/>
    </row>
    <row r="783" ht="15.75" customHeight="1">
      <c r="A783" s="79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5"/>
      <c r="AI783" s="77"/>
    </row>
    <row r="784" ht="15.75" customHeight="1">
      <c r="A784" s="79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5"/>
      <c r="AI784" s="77"/>
    </row>
    <row r="785" ht="15.75" customHeight="1">
      <c r="A785" s="79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5"/>
      <c r="AI785" s="77"/>
    </row>
    <row r="786" ht="15.75" customHeight="1">
      <c r="A786" s="79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5"/>
      <c r="AI786" s="77"/>
    </row>
    <row r="787" ht="15.75" customHeight="1">
      <c r="A787" s="79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5"/>
      <c r="AI787" s="77"/>
    </row>
    <row r="788" ht="15.75" customHeight="1">
      <c r="A788" s="79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5"/>
      <c r="AI788" s="77"/>
    </row>
    <row r="789" ht="15.75" customHeight="1">
      <c r="A789" s="79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5"/>
      <c r="AI789" s="77"/>
    </row>
    <row r="790" ht="15.75" customHeight="1">
      <c r="A790" s="79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5"/>
      <c r="AI790" s="77"/>
    </row>
    <row r="791" ht="15.75" customHeight="1">
      <c r="A791" s="79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5"/>
      <c r="AI791" s="77"/>
    </row>
    <row r="792" ht="15.75" customHeight="1">
      <c r="A792" s="79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5"/>
      <c r="AI792" s="77"/>
    </row>
    <row r="793" ht="15.75" customHeight="1">
      <c r="A793" s="79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5"/>
      <c r="AI793" s="77"/>
    </row>
    <row r="794" ht="15.75" customHeight="1">
      <c r="A794" s="79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5"/>
      <c r="AI794" s="77"/>
    </row>
    <row r="795" ht="15.75" customHeight="1">
      <c r="A795" s="79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5"/>
      <c r="AI795" s="77"/>
    </row>
    <row r="796" ht="15.75" customHeight="1">
      <c r="A796" s="79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5"/>
      <c r="AI796" s="77"/>
    </row>
    <row r="797" ht="15.75" customHeight="1">
      <c r="A797" s="79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5"/>
      <c r="AI797" s="77"/>
    </row>
    <row r="798" ht="15.75" customHeight="1">
      <c r="A798" s="79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5"/>
      <c r="AI798" s="77"/>
    </row>
    <row r="799" ht="15.75" customHeight="1">
      <c r="A799" s="79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5"/>
      <c r="AI799" s="77"/>
    </row>
    <row r="800" ht="15.75" customHeight="1">
      <c r="A800" s="79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5"/>
      <c r="AI800" s="77"/>
    </row>
    <row r="801" ht="15.75" customHeight="1">
      <c r="A801" s="79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5"/>
      <c r="AI801" s="77"/>
    </row>
    <row r="802" ht="15.75" customHeight="1">
      <c r="A802" s="79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5"/>
      <c r="AI802" s="77"/>
    </row>
    <row r="803" ht="15.75" customHeight="1">
      <c r="A803" s="79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5"/>
      <c r="AI803" s="77"/>
    </row>
    <row r="804" ht="15.75" customHeight="1">
      <c r="A804" s="79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5"/>
      <c r="AI804" s="77"/>
    </row>
    <row r="805" ht="15.75" customHeight="1">
      <c r="A805" s="79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5"/>
      <c r="AI805" s="77"/>
    </row>
    <row r="806" ht="15.75" customHeight="1">
      <c r="A806" s="79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5"/>
      <c r="AI806" s="77"/>
    </row>
    <row r="807" ht="15.75" customHeight="1">
      <c r="A807" s="79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5"/>
      <c r="AI807" s="77"/>
    </row>
    <row r="808" ht="15.75" customHeight="1">
      <c r="A808" s="79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5"/>
      <c r="AI808" s="77"/>
    </row>
    <row r="809" ht="15.75" customHeight="1">
      <c r="A809" s="79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5"/>
      <c r="AI809" s="77"/>
    </row>
    <row r="810" ht="15.75" customHeight="1">
      <c r="A810" s="79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5"/>
      <c r="AI810" s="77"/>
    </row>
    <row r="811" ht="15.75" customHeight="1">
      <c r="A811" s="79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5"/>
      <c r="AI811" s="77"/>
    </row>
    <row r="812" ht="15.75" customHeight="1">
      <c r="A812" s="79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5"/>
      <c r="AI812" s="77"/>
    </row>
    <row r="813" ht="15.75" customHeight="1">
      <c r="A813" s="79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5"/>
      <c r="AI813" s="77"/>
    </row>
    <row r="814" ht="15.75" customHeight="1">
      <c r="A814" s="79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5"/>
      <c r="AI814" s="77"/>
    </row>
    <row r="815" ht="15.75" customHeight="1">
      <c r="A815" s="79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5"/>
      <c r="AI815" s="77"/>
    </row>
    <row r="816" ht="15.75" customHeight="1">
      <c r="A816" s="79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5"/>
      <c r="AI816" s="77"/>
    </row>
    <row r="817" ht="15.75" customHeight="1">
      <c r="A817" s="79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5"/>
      <c r="AI817" s="77"/>
    </row>
    <row r="818" ht="15.75" customHeight="1">
      <c r="A818" s="79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5"/>
      <c r="AI818" s="77"/>
    </row>
    <row r="819" ht="15.75" customHeight="1">
      <c r="A819" s="79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5"/>
      <c r="AI819" s="77"/>
    </row>
    <row r="820" ht="15.75" customHeight="1">
      <c r="A820" s="79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5"/>
      <c r="AI820" s="77"/>
    </row>
    <row r="821" ht="15.75" customHeight="1">
      <c r="A821" s="79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5"/>
      <c r="AI821" s="77"/>
    </row>
    <row r="822" ht="15.75" customHeight="1">
      <c r="A822" s="79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5"/>
      <c r="AI822" s="77"/>
    </row>
    <row r="823" ht="15.75" customHeight="1">
      <c r="A823" s="79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5"/>
      <c r="AI823" s="77"/>
    </row>
    <row r="824" ht="15.75" customHeight="1">
      <c r="A824" s="79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5"/>
      <c r="AI824" s="77"/>
    </row>
    <row r="825" ht="15.75" customHeight="1">
      <c r="A825" s="79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5"/>
      <c r="AI825" s="77"/>
    </row>
    <row r="826" ht="15.75" customHeight="1">
      <c r="A826" s="79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5"/>
      <c r="AI826" s="77"/>
    </row>
    <row r="827" ht="15.75" customHeight="1">
      <c r="A827" s="79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5"/>
      <c r="AI827" s="77"/>
    </row>
    <row r="828" ht="15.75" customHeight="1">
      <c r="A828" s="79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5"/>
      <c r="AI828" s="77"/>
    </row>
    <row r="829" ht="15.75" customHeight="1">
      <c r="A829" s="79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5"/>
      <c r="AI829" s="77"/>
    </row>
    <row r="830" ht="15.75" customHeight="1">
      <c r="A830" s="79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5"/>
      <c r="AI830" s="77"/>
    </row>
    <row r="831" ht="15.75" customHeight="1">
      <c r="A831" s="79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5"/>
      <c r="AI831" s="77"/>
    </row>
    <row r="832" ht="15.75" customHeight="1">
      <c r="A832" s="79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5"/>
      <c r="AI832" s="77"/>
    </row>
    <row r="833" ht="15.75" customHeight="1">
      <c r="A833" s="79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5"/>
      <c r="AI833" s="77"/>
    </row>
    <row r="834" ht="15.75" customHeight="1">
      <c r="A834" s="79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5"/>
      <c r="AI834" s="77"/>
    </row>
    <row r="835" ht="15.75" customHeight="1">
      <c r="A835" s="79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5"/>
      <c r="AI835" s="77"/>
    </row>
    <row r="836" ht="15.75" customHeight="1">
      <c r="A836" s="79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5"/>
      <c r="AI836" s="77"/>
    </row>
    <row r="837" ht="15.75" customHeight="1">
      <c r="A837" s="79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5"/>
      <c r="AI837" s="77"/>
    </row>
    <row r="838" ht="15.75" customHeight="1">
      <c r="A838" s="79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5"/>
      <c r="AI838" s="77"/>
    </row>
    <row r="839" ht="15.75" customHeight="1">
      <c r="A839" s="79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5"/>
      <c r="AI839" s="77"/>
    </row>
    <row r="840" ht="15.75" customHeight="1">
      <c r="A840" s="79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5"/>
      <c r="AI840" s="77"/>
    </row>
    <row r="841" ht="15.75" customHeight="1">
      <c r="A841" s="79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5"/>
      <c r="AI841" s="77"/>
    </row>
    <row r="842" ht="15.75" customHeight="1">
      <c r="A842" s="79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5"/>
      <c r="AI842" s="77"/>
    </row>
    <row r="843" ht="15.75" customHeight="1">
      <c r="A843" s="79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5"/>
      <c r="AI843" s="77"/>
    </row>
    <row r="844" ht="15.75" customHeight="1">
      <c r="A844" s="79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5"/>
      <c r="AI844" s="77"/>
    </row>
    <row r="845" ht="15.75" customHeight="1">
      <c r="A845" s="79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5"/>
      <c r="AI845" s="77"/>
    </row>
    <row r="846" ht="15.75" customHeight="1">
      <c r="A846" s="79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5"/>
      <c r="AI846" s="77"/>
    </row>
    <row r="847" ht="15.75" customHeight="1">
      <c r="A847" s="79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5"/>
      <c r="AI847" s="77"/>
    </row>
    <row r="848" ht="15.75" customHeight="1">
      <c r="A848" s="79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5"/>
      <c r="AI848" s="77"/>
    </row>
    <row r="849" ht="15.75" customHeight="1">
      <c r="A849" s="79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5"/>
      <c r="AI849" s="77"/>
    </row>
    <row r="850" ht="15.75" customHeight="1">
      <c r="A850" s="79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5"/>
      <c r="AI850" s="77"/>
    </row>
    <row r="851" ht="15.75" customHeight="1">
      <c r="A851" s="79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5"/>
      <c r="AI851" s="77"/>
    </row>
    <row r="852" ht="15.75" customHeight="1">
      <c r="A852" s="79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5"/>
      <c r="AI852" s="77"/>
    </row>
    <row r="853" ht="15.75" customHeight="1">
      <c r="A853" s="79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5"/>
      <c r="AI853" s="77"/>
    </row>
    <row r="854" ht="15.75" customHeight="1">
      <c r="A854" s="79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5"/>
      <c r="AI854" s="77"/>
    </row>
    <row r="855" ht="15.75" customHeight="1">
      <c r="A855" s="79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5"/>
      <c r="AI855" s="77"/>
    </row>
    <row r="856" ht="15.75" customHeight="1">
      <c r="A856" s="79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5"/>
      <c r="AI856" s="77"/>
    </row>
    <row r="857" ht="15.75" customHeight="1">
      <c r="A857" s="79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5"/>
      <c r="AI857" s="77"/>
    </row>
    <row r="858" ht="15.75" customHeight="1">
      <c r="A858" s="79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5"/>
      <c r="AI858" s="77"/>
    </row>
    <row r="859" ht="15.75" customHeight="1">
      <c r="A859" s="79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5"/>
      <c r="AI859" s="77"/>
    </row>
    <row r="860" ht="15.75" customHeight="1">
      <c r="A860" s="79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5"/>
      <c r="AI860" s="77"/>
    </row>
    <row r="861" ht="15.75" customHeight="1">
      <c r="A861" s="79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5"/>
      <c r="AI861" s="77"/>
    </row>
    <row r="862" ht="15.75" customHeight="1">
      <c r="A862" s="79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5"/>
      <c r="AI862" s="77"/>
    </row>
    <row r="863" ht="15.75" customHeight="1">
      <c r="A863" s="79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5"/>
      <c r="AI863" s="77"/>
    </row>
    <row r="864" ht="15.75" customHeight="1">
      <c r="A864" s="79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5"/>
      <c r="AI864" s="77"/>
    </row>
    <row r="865" ht="15.75" customHeight="1">
      <c r="A865" s="79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5"/>
      <c r="AI865" s="77"/>
    </row>
    <row r="866" ht="15.75" customHeight="1">
      <c r="A866" s="79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5"/>
      <c r="AI866" s="77"/>
    </row>
    <row r="867" ht="15.75" customHeight="1">
      <c r="A867" s="79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5"/>
      <c r="AI867" s="77"/>
    </row>
    <row r="868" ht="15.75" customHeight="1">
      <c r="A868" s="79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5"/>
      <c r="AI868" s="77"/>
    </row>
    <row r="869" ht="15.75" customHeight="1">
      <c r="A869" s="79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5"/>
      <c r="AI869" s="77"/>
    </row>
    <row r="870" ht="15.75" customHeight="1">
      <c r="A870" s="79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5"/>
      <c r="AI870" s="77"/>
    </row>
    <row r="871" ht="15.75" customHeight="1">
      <c r="A871" s="79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5"/>
      <c r="AI871" s="77"/>
    </row>
    <row r="872" ht="15.75" customHeight="1">
      <c r="A872" s="79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5"/>
      <c r="AI872" s="77"/>
    </row>
    <row r="873" ht="15.75" customHeight="1">
      <c r="A873" s="79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5"/>
      <c r="AI873" s="77"/>
    </row>
    <row r="874" ht="15.75" customHeight="1">
      <c r="A874" s="79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5"/>
      <c r="AI874" s="77"/>
    </row>
    <row r="875" ht="15.75" customHeight="1">
      <c r="A875" s="79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5"/>
      <c r="AI875" s="77"/>
    </row>
    <row r="876" ht="15.75" customHeight="1">
      <c r="A876" s="79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5"/>
      <c r="AI876" s="77"/>
    </row>
    <row r="877" ht="15.75" customHeight="1">
      <c r="A877" s="79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5"/>
      <c r="AI877" s="77"/>
    </row>
    <row r="878" ht="15.75" customHeight="1">
      <c r="A878" s="79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5"/>
      <c r="AI878" s="77"/>
    </row>
    <row r="879" ht="15.75" customHeight="1">
      <c r="A879" s="79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5"/>
      <c r="AI879" s="77"/>
    </row>
    <row r="880" ht="15.75" customHeight="1">
      <c r="A880" s="79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5"/>
      <c r="AI880" s="77"/>
    </row>
    <row r="881" ht="15.75" customHeight="1">
      <c r="A881" s="79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5"/>
      <c r="AI881" s="77"/>
    </row>
    <row r="882" ht="15.75" customHeight="1">
      <c r="A882" s="79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5"/>
      <c r="AI882" s="77"/>
    </row>
    <row r="883" ht="15.75" customHeight="1">
      <c r="A883" s="79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5"/>
      <c r="AI883" s="77"/>
    </row>
    <row r="884" ht="15.75" customHeight="1">
      <c r="A884" s="79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5"/>
      <c r="AI884" s="77"/>
    </row>
    <row r="885" ht="15.75" customHeight="1">
      <c r="A885" s="79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5"/>
      <c r="AI885" s="77"/>
    </row>
    <row r="886" ht="15.75" customHeight="1">
      <c r="A886" s="79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5"/>
      <c r="AI886" s="77"/>
    </row>
    <row r="887" ht="15.75" customHeight="1">
      <c r="A887" s="79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5"/>
      <c r="AI887" s="77"/>
    </row>
    <row r="888" ht="15.75" customHeight="1">
      <c r="A888" s="79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5"/>
      <c r="AI888" s="77"/>
    </row>
    <row r="889" ht="15.75" customHeight="1">
      <c r="A889" s="79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5"/>
      <c r="AI889" s="77"/>
    </row>
    <row r="890" ht="15.75" customHeight="1">
      <c r="A890" s="79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5"/>
      <c r="AI890" s="77"/>
    </row>
    <row r="891" ht="15.75" customHeight="1">
      <c r="A891" s="79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5"/>
      <c r="AI891" s="77"/>
    </row>
    <row r="892" ht="15.75" customHeight="1">
      <c r="A892" s="79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5"/>
      <c r="AI892" s="77"/>
    </row>
    <row r="893" ht="15.75" customHeight="1">
      <c r="A893" s="79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5"/>
      <c r="AI893" s="77"/>
    </row>
    <row r="894" ht="15.75" customHeight="1">
      <c r="A894" s="79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5"/>
      <c r="AI894" s="77"/>
    </row>
    <row r="895" ht="15.75" customHeight="1">
      <c r="A895" s="79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5"/>
      <c r="AI895" s="77"/>
    </row>
    <row r="896" ht="15.75" customHeight="1">
      <c r="A896" s="79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5"/>
      <c r="AI896" s="77"/>
    </row>
    <row r="897" ht="15.75" customHeight="1">
      <c r="A897" s="79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5"/>
      <c r="AI897" s="77"/>
    </row>
    <row r="898" ht="15.75" customHeight="1">
      <c r="A898" s="79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5"/>
      <c r="AI898" s="77"/>
    </row>
    <row r="899" ht="15.75" customHeight="1">
      <c r="A899" s="79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5"/>
      <c r="AI899" s="77"/>
    </row>
    <row r="900" ht="15.75" customHeight="1">
      <c r="A900" s="79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5"/>
      <c r="AI900" s="77"/>
    </row>
    <row r="901" ht="15.75" customHeight="1">
      <c r="A901" s="79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5"/>
      <c r="AI901" s="77"/>
    </row>
    <row r="902" ht="15.75" customHeight="1">
      <c r="A902" s="79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5"/>
      <c r="AI902" s="77"/>
    </row>
    <row r="903" ht="15.75" customHeight="1">
      <c r="A903" s="79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5"/>
      <c r="AI903" s="77"/>
    </row>
    <row r="904" ht="15.75" customHeight="1">
      <c r="A904" s="79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5"/>
      <c r="AI904" s="77"/>
    </row>
    <row r="905" ht="15.75" customHeight="1">
      <c r="A905" s="79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5"/>
      <c r="AI905" s="77"/>
    </row>
    <row r="906" ht="15.75" customHeight="1">
      <c r="A906" s="79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5"/>
      <c r="AI906" s="77"/>
    </row>
    <row r="907" ht="15.75" customHeight="1">
      <c r="A907" s="79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5"/>
      <c r="AI907" s="77"/>
    </row>
    <row r="908" ht="15.75" customHeight="1">
      <c r="A908" s="79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5"/>
      <c r="AI908" s="77"/>
    </row>
    <row r="909" ht="15.75" customHeight="1">
      <c r="A909" s="79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5"/>
      <c r="AI909" s="77"/>
    </row>
    <row r="910" ht="15.75" customHeight="1">
      <c r="A910" s="79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5"/>
      <c r="AI910" s="77"/>
    </row>
    <row r="911" ht="15.75" customHeight="1">
      <c r="A911" s="79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5"/>
      <c r="AI911" s="77"/>
    </row>
    <row r="912" ht="15.75" customHeight="1">
      <c r="A912" s="79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5"/>
      <c r="AI912" s="77"/>
    </row>
    <row r="913" ht="15.75" customHeight="1">
      <c r="A913" s="79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5"/>
      <c r="AI913" s="77"/>
    </row>
    <row r="914" ht="15.75" customHeight="1">
      <c r="A914" s="79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5"/>
      <c r="AI914" s="77"/>
    </row>
    <row r="915" ht="15.75" customHeight="1">
      <c r="A915" s="79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5"/>
      <c r="AI915" s="77"/>
    </row>
    <row r="916" ht="15.75" customHeight="1">
      <c r="A916" s="79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5"/>
      <c r="AI916" s="77"/>
    </row>
    <row r="917" ht="15.75" customHeight="1">
      <c r="A917" s="79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5"/>
      <c r="AI917" s="77"/>
    </row>
    <row r="918" ht="15.75" customHeight="1">
      <c r="A918" s="79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5"/>
      <c r="AI918" s="77"/>
    </row>
    <row r="919" ht="15.75" customHeight="1">
      <c r="A919" s="79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5"/>
      <c r="AI919" s="77"/>
    </row>
    <row r="920" ht="15.75" customHeight="1">
      <c r="A920" s="79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5"/>
      <c r="AI920" s="77"/>
    </row>
    <row r="921" ht="15.75" customHeight="1">
      <c r="A921" s="79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5"/>
      <c r="AI921" s="77"/>
    </row>
    <row r="922" ht="15.75" customHeight="1">
      <c r="A922" s="79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5"/>
      <c r="AI922" s="77"/>
    </row>
    <row r="923" ht="15.75" customHeight="1">
      <c r="A923" s="79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5"/>
      <c r="AI923" s="77"/>
    </row>
    <row r="924" ht="15.75" customHeight="1">
      <c r="A924" s="79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5"/>
      <c r="AI924" s="77"/>
    </row>
    <row r="925" ht="15.75" customHeight="1">
      <c r="A925" s="79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5"/>
      <c r="AI925" s="77"/>
    </row>
    <row r="926" ht="15.75" customHeight="1">
      <c r="A926" s="79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5"/>
      <c r="AI926" s="77"/>
    </row>
    <row r="927" ht="15.75" customHeight="1">
      <c r="A927" s="79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5"/>
      <c r="AI927" s="77"/>
    </row>
    <row r="928" ht="15.75" customHeight="1">
      <c r="A928" s="79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5"/>
      <c r="AI928" s="77"/>
    </row>
    <row r="929" ht="15.75" customHeight="1">
      <c r="A929" s="79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5"/>
      <c r="AI929" s="77"/>
    </row>
    <row r="930" ht="15.75" customHeight="1">
      <c r="A930" s="79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5"/>
      <c r="AI930" s="77"/>
    </row>
    <row r="931" ht="15.75" customHeight="1">
      <c r="A931" s="79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5"/>
      <c r="AI931" s="77"/>
    </row>
    <row r="932" ht="15.75" customHeight="1">
      <c r="A932" s="79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5"/>
      <c r="AI932" s="77"/>
    </row>
    <row r="933" ht="15.75" customHeight="1">
      <c r="A933" s="79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5"/>
      <c r="AI933" s="77"/>
    </row>
    <row r="934" ht="15.75" customHeight="1">
      <c r="A934" s="79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5"/>
      <c r="AI934" s="77"/>
    </row>
    <row r="935" ht="15.75" customHeight="1">
      <c r="A935" s="79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5"/>
      <c r="AI935" s="77"/>
    </row>
    <row r="936" ht="15.75" customHeight="1">
      <c r="A936" s="79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5"/>
      <c r="AI936" s="77"/>
    </row>
    <row r="937" ht="15.75" customHeight="1">
      <c r="A937" s="79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5"/>
      <c r="AI937" s="77"/>
    </row>
    <row r="938" ht="15.75" customHeight="1">
      <c r="A938" s="79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5"/>
      <c r="AI938" s="77"/>
    </row>
    <row r="939" ht="15.75" customHeight="1">
      <c r="A939" s="79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5"/>
      <c r="AI939" s="77"/>
    </row>
    <row r="940" ht="15.75" customHeight="1">
      <c r="A940" s="79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5"/>
      <c r="AI940" s="77"/>
    </row>
    <row r="941" ht="15.75" customHeight="1">
      <c r="A941" s="79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5"/>
      <c r="AI941" s="77"/>
    </row>
    <row r="942" ht="15.75" customHeight="1">
      <c r="A942" s="79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5"/>
      <c r="AI942" s="77"/>
    </row>
    <row r="943" ht="15.75" customHeight="1">
      <c r="A943" s="79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5"/>
      <c r="AI943" s="77"/>
    </row>
    <row r="944" ht="15.75" customHeight="1">
      <c r="A944" s="79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5"/>
      <c r="AI944" s="77"/>
    </row>
    <row r="945" ht="15.75" customHeight="1">
      <c r="A945" s="79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5"/>
      <c r="AI945" s="77"/>
    </row>
    <row r="946" ht="15.75" customHeight="1">
      <c r="A946" s="79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5"/>
      <c r="AI946" s="77"/>
    </row>
    <row r="947" ht="15.75" customHeight="1">
      <c r="A947" s="79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5"/>
      <c r="AI947" s="77"/>
    </row>
    <row r="948" ht="15.75" customHeight="1">
      <c r="A948" s="79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5"/>
      <c r="AI948" s="77"/>
    </row>
    <row r="949" ht="15.75" customHeight="1">
      <c r="A949" s="79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5"/>
      <c r="AI949" s="77"/>
    </row>
    <row r="950" ht="15.75" customHeight="1">
      <c r="A950" s="79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5"/>
      <c r="AI950" s="77"/>
    </row>
    <row r="951" ht="15.75" customHeight="1">
      <c r="A951" s="79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5"/>
      <c r="AI951" s="77"/>
    </row>
    <row r="952" ht="15.75" customHeight="1">
      <c r="A952" s="79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5"/>
      <c r="AI952" s="77"/>
    </row>
    <row r="953" ht="15.75" customHeight="1">
      <c r="A953" s="79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5"/>
      <c r="AI953" s="77"/>
    </row>
    <row r="954" ht="15.75" customHeight="1">
      <c r="A954" s="79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5"/>
      <c r="AI954" s="77"/>
    </row>
    <row r="955" ht="15.75" customHeight="1">
      <c r="A955" s="79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5"/>
      <c r="AI955" s="77"/>
    </row>
    <row r="956" ht="15.75" customHeight="1">
      <c r="A956" s="79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5"/>
      <c r="AI956" s="77"/>
    </row>
    <row r="957" ht="15.75" customHeight="1">
      <c r="A957" s="79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5"/>
      <c r="AI957" s="77"/>
    </row>
    <row r="958" ht="15.75" customHeight="1">
      <c r="A958" s="79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5"/>
      <c r="AI958" s="77"/>
    </row>
    <row r="959" ht="15.75" customHeight="1">
      <c r="A959" s="79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5"/>
      <c r="AI959" s="77"/>
    </row>
    <row r="960" ht="15.75" customHeight="1">
      <c r="A960" s="79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5"/>
      <c r="AI960" s="77"/>
    </row>
    <row r="961" ht="15.75" customHeight="1">
      <c r="A961" s="79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5"/>
      <c r="AI961" s="77"/>
    </row>
    <row r="962" ht="15.75" customHeight="1">
      <c r="A962" s="79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5"/>
      <c r="AI962" s="77"/>
    </row>
    <row r="963" ht="15.75" customHeight="1">
      <c r="A963" s="79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5"/>
      <c r="AI963" s="77"/>
    </row>
    <row r="964" ht="15.75" customHeight="1">
      <c r="A964" s="79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5"/>
      <c r="AI964" s="77"/>
    </row>
    <row r="965" ht="15.75" customHeight="1">
      <c r="A965" s="79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5"/>
      <c r="AI965" s="77"/>
    </row>
    <row r="966" ht="15.75" customHeight="1">
      <c r="A966" s="79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5"/>
      <c r="AI966" s="77"/>
    </row>
    <row r="967" ht="15.75" customHeight="1">
      <c r="A967" s="79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5"/>
      <c r="AI967" s="77"/>
    </row>
    <row r="968" ht="15.75" customHeight="1">
      <c r="A968" s="79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5"/>
      <c r="AI968" s="77"/>
    </row>
    <row r="969" ht="15.75" customHeight="1">
      <c r="A969" s="79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5"/>
      <c r="AI969" s="77"/>
    </row>
    <row r="970" ht="15.75" customHeight="1">
      <c r="A970" s="79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5"/>
      <c r="AI970" s="77"/>
    </row>
    <row r="971" ht="15.75" customHeight="1">
      <c r="A971" s="79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5"/>
      <c r="AI971" s="77"/>
    </row>
    <row r="972" ht="15.75" customHeight="1">
      <c r="A972" s="79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5"/>
      <c r="AI972" s="77"/>
    </row>
    <row r="973" ht="15.75" customHeight="1">
      <c r="A973" s="79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5"/>
      <c r="AI973" s="77"/>
    </row>
    <row r="974" ht="15.75" customHeight="1">
      <c r="A974" s="79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5"/>
      <c r="AI974" s="77"/>
    </row>
    <row r="975" ht="15.75" customHeight="1">
      <c r="A975" s="79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5"/>
      <c r="AI975" s="77"/>
    </row>
    <row r="976" ht="15.75" customHeight="1">
      <c r="A976" s="79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5"/>
      <c r="AI976" s="77"/>
    </row>
    <row r="977" ht="15.75" customHeight="1">
      <c r="A977" s="79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5"/>
      <c r="AI977" s="77"/>
    </row>
    <row r="978" ht="15.75" customHeight="1">
      <c r="A978" s="79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5"/>
      <c r="AI978" s="77"/>
    </row>
    <row r="979" ht="15.75" customHeight="1">
      <c r="A979" s="79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5"/>
      <c r="AI979" s="77"/>
    </row>
    <row r="980" ht="15.75" customHeight="1">
      <c r="A980" s="79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5"/>
      <c r="AI980" s="77"/>
    </row>
    <row r="981" ht="15.75" customHeight="1">
      <c r="A981" s="79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5"/>
      <c r="AI981" s="77"/>
    </row>
    <row r="982" ht="15.75" customHeight="1">
      <c r="A982" s="79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5"/>
      <c r="AI982" s="77"/>
    </row>
    <row r="983" ht="15.75" customHeight="1">
      <c r="A983" s="79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5"/>
      <c r="AI983" s="77"/>
    </row>
    <row r="984" ht="15.75" customHeight="1">
      <c r="A984" s="79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5"/>
      <c r="AI984" s="77"/>
    </row>
    <row r="985" ht="15.75" customHeight="1">
      <c r="A985" s="79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5"/>
      <c r="AI985" s="77"/>
    </row>
    <row r="986" ht="15.75" customHeight="1">
      <c r="A986" s="79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5"/>
      <c r="AI986" s="77"/>
    </row>
    <row r="987" ht="15.75" customHeight="1">
      <c r="A987" s="79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5"/>
      <c r="AI987" s="77"/>
    </row>
    <row r="988" ht="15.75" customHeight="1">
      <c r="A988" s="79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5"/>
      <c r="AI988" s="77"/>
    </row>
    <row r="989" ht="15.75" customHeight="1">
      <c r="A989" s="79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5"/>
      <c r="AI989" s="77"/>
    </row>
    <row r="990" ht="15.75" customHeight="1">
      <c r="A990" s="79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5"/>
      <c r="AI990" s="77"/>
    </row>
    <row r="991" ht="15.75" customHeight="1">
      <c r="A991" s="79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5"/>
      <c r="AI991" s="77"/>
    </row>
    <row r="992" ht="15.75" customHeight="1">
      <c r="A992" s="79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5"/>
      <c r="AI992" s="77"/>
    </row>
    <row r="993" ht="15.75" customHeight="1">
      <c r="A993" s="79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5"/>
      <c r="AI993" s="77"/>
    </row>
    <row r="994" ht="15.75" customHeight="1">
      <c r="A994" s="79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5"/>
      <c r="AI994" s="77"/>
    </row>
    <row r="995" ht="15.75" customHeight="1">
      <c r="A995" s="79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5"/>
      <c r="AI995" s="77"/>
    </row>
    <row r="996" ht="15.75" customHeight="1">
      <c r="A996" s="79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5"/>
      <c r="AI996" s="77"/>
    </row>
    <row r="997" ht="15.75" customHeight="1">
      <c r="A997" s="79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5"/>
      <c r="AI997" s="77"/>
    </row>
    <row r="998" ht="15.75" customHeight="1">
      <c r="A998" s="79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5"/>
      <c r="AI998" s="77"/>
    </row>
    <row r="999" ht="15.75" customHeight="1">
      <c r="A999" s="79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5"/>
      <c r="AI999" s="77"/>
    </row>
    <row r="1000" ht="15.75" customHeight="1">
      <c r="A1000" s="79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5"/>
      <c r="AI1000" s="77"/>
    </row>
  </sheetData>
  <mergeCells count="5">
    <mergeCell ref="E2:U2"/>
    <mergeCell ref="B3:B4"/>
    <mergeCell ref="C3:C4"/>
    <mergeCell ref="D3:D4"/>
    <mergeCell ref="E3:E4"/>
  </mergeCells>
  <conditionalFormatting sqref="F27:Z27">
    <cfRule type="cellIs" dxfId="0" priority="1" operator="lessThan">
      <formula>1</formula>
    </cfRule>
  </conditionalFormatting>
  <conditionalFormatting sqref="F28:Z28">
    <cfRule type="cellIs" dxfId="0" priority="2" operator="lessThan">
      <formula>1</formula>
    </cfRule>
  </conditionalFormatting>
  <conditionalFormatting sqref="F28:Z28">
    <cfRule type="cellIs" dxfId="0" priority="3" operator="greaterThan">
      <formula>1</formula>
    </cfRule>
  </conditionalFormatting>
  <conditionalFormatting sqref="F28:Z28">
    <cfRule type="cellIs" dxfId="0" priority="4" operator="greaterThan">
      <formula>1</formula>
    </cfRule>
  </conditionalFormatting>
  <conditionalFormatting sqref="AA27:AF27">
    <cfRule type="cellIs" dxfId="0" priority="5" operator="lessThan">
      <formula>1</formula>
    </cfRule>
  </conditionalFormatting>
  <conditionalFormatting sqref="AA28:AF28">
    <cfRule type="cellIs" dxfId="0" priority="6" operator="lessThan">
      <formula>1</formula>
    </cfRule>
  </conditionalFormatting>
  <conditionalFormatting sqref="AA28:AF28">
    <cfRule type="cellIs" dxfId="0" priority="7" operator="greaterThan">
      <formula>1</formula>
    </cfRule>
  </conditionalFormatting>
  <conditionalFormatting sqref="AA28:AF28">
    <cfRule type="cellIs" dxfId="0" priority="8" operator="greaterThan">
      <formula>1</formula>
    </cfRule>
  </conditionalFormatting>
  <conditionalFormatting sqref="AG27">
    <cfRule type="cellIs" dxfId="0" priority="9" operator="lessThan">
      <formula>1</formula>
    </cfRule>
  </conditionalFormatting>
  <conditionalFormatting sqref="AG28">
    <cfRule type="cellIs" dxfId="0" priority="10" operator="lessThan">
      <formula>1</formula>
    </cfRule>
  </conditionalFormatting>
  <conditionalFormatting sqref="AG28">
    <cfRule type="cellIs" dxfId="0" priority="11" operator="greaterThan">
      <formula>1</formula>
    </cfRule>
  </conditionalFormatting>
  <conditionalFormatting sqref="AG28">
    <cfRule type="cellIs" dxfId="0" priority="12" operator="greaterThan">
      <formula>1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9.29"/>
    <col customWidth="1" min="3" max="3" width="55.71"/>
    <col customWidth="1" min="4" max="4" width="12.57"/>
    <col customWidth="1" min="5" max="9" width="13.57"/>
    <col customWidth="1" min="10" max="18" width="12.0"/>
    <col customWidth="1" hidden="1" min="19" max="19" width="16.0"/>
    <col customWidth="1" hidden="1" min="20" max="21" width="12.0"/>
    <col customWidth="1" hidden="1" min="22" max="23" width="8.57"/>
    <col customWidth="1" hidden="1" min="24" max="25" width="11.0"/>
    <col customWidth="1" hidden="1" min="26" max="29" width="8.57"/>
    <col customWidth="1" min="30" max="30" width="9.14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>
      <c r="A2" s="77"/>
      <c r="B2" s="80"/>
      <c r="C2" s="80"/>
      <c r="D2" s="80"/>
      <c r="E2" s="137" t="s">
        <v>52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77"/>
    </row>
    <row r="3" ht="15.0" customHeight="1">
      <c r="A3" s="77"/>
      <c r="B3" s="139" t="s">
        <v>53</v>
      </c>
      <c r="C3" s="140" t="s">
        <v>54</v>
      </c>
      <c r="D3" s="141" t="s">
        <v>56</v>
      </c>
      <c r="E3" s="88">
        <f>EVM!F3</f>
        <v>43675</v>
      </c>
      <c r="F3" s="88">
        <f>EVM!G3</f>
        <v>43682</v>
      </c>
      <c r="G3" s="88">
        <f>EVM!H3</f>
        <v>43689</v>
      </c>
      <c r="H3" s="88">
        <f>EVM!I3</f>
        <v>43696</v>
      </c>
      <c r="I3" s="88">
        <f>EVM!J3</f>
        <v>43703</v>
      </c>
      <c r="J3" s="88">
        <f>EVM!K3</f>
        <v>43710</v>
      </c>
      <c r="K3" s="88">
        <f>EVM!L3</f>
        <v>43717</v>
      </c>
      <c r="L3" s="88">
        <f>EVM!M3</f>
        <v>43724</v>
      </c>
      <c r="M3" s="88">
        <f>EVM!N3</f>
        <v>43731</v>
      </c>
      <c r="N3" s="88">
        <f>EVM!O3</f>
        <v>43738</v>
      </c>
      <c r="O3" s="88">
        <f>EVM!P3</f>
        <v>43745</v>
      </c>
      <c r="P3" s="88">
        <f>EVM!Q3</f>
        <v>43752</v>
      </c>
      <c r="Q3" s="88">
        <f>EVM!R3</f>
        <v>43759</v>
      </c>
      <c r="R3" s="88">
        <f>EVM!S3</f>
        <v>43766</v>
      </c>
      <c r="S3" s="88">
        <f>EVM!T3</f>
        <v>43773</v>
      </c>
      <c r="T3" s="88">
        <f>EVM!X3</f>
        <v>43801</v>
      </c>
      <c r="U3" s="88">
        <f>EVM!Y3</f>
        <v>43808</v>
      </c>
      <c r="V3" s="88">
        <f>EVM!Z3</f>
        <v>43773</v>
      </c>
      <c r="W3" s="88">
        <f>EVM!AA3</f>
        <v>43780</v>
      </c>
      <c r="X3" s="88">
        <f>EVM!AB3</f>
        <v>43787</v>
      </c>
      <c r="Y3" s="88">
        <f>EVM!AC3</f>
        <v>43794</v>
      </c>
      <c r="Z3" s="88">
        <f>EVM!AD3</f>
        <v>43801</v>
      </c>
      <c r="AA3" s="88">
        <f>EVM!AE3</f>
        <v>43808</v>
      </c>
      <c r="AB3" s="88">
        <f>EVM!AF3</f>
        <v>43815</v>
      </c>
      <c r="AC3" s="88">
        <f>EVM!AG3</f>
        <v>43822</v>
      </c>
      <c r="AD3" s="77"/>
    </row>
    <row r="4">
      <c r="A4" s="77"/>
      <c r="B4" s="89"/>
      <c r="C4" s="89"/>
      <c r="D4" s="90"/>
      <c r="E4" s="142" t="str">
        <f>EVM!F4</f>
        <v>DEV</v>
      </c>
      <c r="F4" s="142" t="str">
        <f>EVM!G4</f>
        <v>DEV</v>
      </c>
      <c r="G4" s="142" t="str">
        <f>EVM!H4</f>
        <v>UAT</v>
      </c>
      <c r="H4" s="142" t="str">
        <f>EVM!I4</f>
        <v>UAT</v>
      </c>
      <c r="I4" s="142" t="str">
        <f>EVM!J4</f>
        <v>TTT</v>
      </c>
      <c r="J4" s="142" t="str">
        <f>EVM!K4</f>
        <v>REL</v>
      </c>
      <c r="K4" s="142" t="str">
        <f>EVM!L4</f>
        <v>SS</v>
      </c>
      <c r="L4" s="142" t="str">
        <f>EVM!M4</f>
        <v>SS</v>
      </c>
      <c r="M4" s="142" t="str">
        <f>EVM!N4</f>
        <v>SS</v>
      </c>
      <c r="N4" s="142" t="str">
        <f>EVM!O4</f>
        <v>SS</v>
      </c>
      <c r="O4" s="142" t="str">
        <f>EVM!P4</f>
        <v>PFS11</v>
      </c>
      <c r="P4" s="142" t="str">
        <f>EVM!Q4</f>
        <v>PFS12</v>
      </c>
      <c r="Q4" s="142" t="str">
        <f>EVM!R4</f>
        <v>PFS13</v>
      </c>
      <c r="R4" s="142" t="str">
        <f>EVM!S4</f>
        <v>PFS14</v>
      </c>
      <c r="S4" s="142" t="str">
        <f>EVM!T4</f>
        <v>PFS15</v>
      </c>
      <c r="T4" s="142" t="str">
        <f>EVM!X4</f>
        <v>PFS13</v>
      </c>
      <c r="U4" s="142" t="str">
        <f>EVM!Y4</f>
        <v>PFS14</v>
      </c>
      <c r="V4" s="142" t="str">
        <f>EVM!Z4</f>
        <v>PFS15</v>
      </c>
      <c r="W4" s="142" t="str">
        <f>EVM!AA4</f>
        <v>WK22</v>
      </c>
      <c r="X4" s="142" t="str">
        <f>EVM!AB4</f>
        <v>WK23</v>
      </c>
      <c r="Y4" s="142" t="str">
        <f>EVM!AC4</f>
        <v>WK24</v>
      </c>
      <c r="Z4" s="142" t="str">
        <f>EVM!AD4</f>
        <v>WK25</v>
      </c>
      <c r="AA4" s="142" t="str">
        <f>EVM!AE4</f>
        <v>WK26</v>
      </c>
      <c r="AB4" s="142" t="str">
        <f>EVM!AF4</f>
        <v>WK27</v>
      </c>
      <c r="AC4" s="142" t="str">
        <f>EVM!AG4</f>
        <v>WK28</v>
      </c>
      <c r="AD4" s="77"/>
    </row>
    <row r="5">
      <c r="A5" s="77"/>
      <c r="B5" s="92">
        <f>EVM!B5</f>
        <v>1</v>
      </c>
      <c r="C5" s="2" t="str">
        <f>EVM!C5</f>
        <v>Project Management / Oversight</v>
      </c>
      <c r="D5" s="94">
        <v>12800.0</v>
      </c>
      <c r="E5" s="143">
        <v>0.1</v>
      </c>
      <c r="F5" s="143">
        <v>0.18</v>
      </c>
      <c r="G5" s="143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77"/>
    </row>
    <row r="6">
      <c r="A6" s="77"/>
      <c r="B6" s="92">
        <f>EVM!B6</f>
        <v>2</v>
      </c>
      <c r="C6" s="2" t="str">
        <f>EVM!C6</f>
        <v>Functional Workstream - CRM Configuration</v>
      </c>
      <c r="D6" s="94">
        <v>16800.0</v>
      </c>
      <c r="E6" s="143">
        <v>0.0</v>
      </c>
      <c r="F6" s="143">
        <v>0.0</v>
      </c>
      <c r="G6" s="143">
        <v>0.0</v>
      </c>
      <c r="H6" s="143">
        <v>0.1</v>
      </c>
      <c r="I6" s="146">
        <v>16.0</v>
      </c>
      <c r="J6" s="144"/>
      <c r="K6" s="144"/>
      <c r="L6" s="144"/>
      <c r="M6" s="144"/>
      <c r="N6" s="144"/>
      <c r="O6" s="144"/>
      <c r="P6" s="144"/>
      <c r="Q6" s="144"/>
      <c r="R6" s="144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77"/>
    </row>
    <row r="7">
      <c r="A7" s="77"/>
      <c r="B7" s="92">
        <f>EVM!B7</f>
        <v>3</v>
      </c>
      <c r="C7" s="2" t="str">
        <f>EVM!C7</f>
        <v>Portal Configuration</v>
      </c>
      <c r="D7" s="94">
        <f>EVM!E7</f>
        <v>45200</v>
      </c>
      <c r="E7" s="144">
        <v>0.1</v>
      </c>
      <c r="F7" s="143">
        <v>0.1</v>
      </c>
      <c r="G7" s="143">
        <v>0.15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77"/>
    </row>
    <row r="8">
      <c r="A8" s="77"/>
      <c r="B8" s="92">
        <f>EVM!B8</f>
        <v>4</v>
      </c>
      <c r="C8" s="2" t="str">
        <f>EVM!C8</f>
        <v>Training</v>
      </c>
      <c r="D8" s="94">
        <v>14400.0</v>
      </c>
      <c r="E8" s="144">
        <v>0.05</v>
      </c>
      <c r="F8" s="143">
        <v>0.1</v>
      </c>
      <c r="G8" s="143">
        <v>0.1</v>
      </c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77"/>
    </row>
    <row r="9">
      <c r="A9" s="77"/>
      <c r="B9" s="147" t="s">
        <v>76</v>
      </c>
      <c r="C9" s="148" t="s">
        <v>77</v>
      </c>
      <c r="D9" s="149">
        <f>SUM(D5:D8)</f>
        <v>89200</v>
      </c>
      <c r="E9" s="150">
        <f t="shared" ref="E9:AC9" si="1">SUMPRODUCT(E5:E8,$D$5:$D$8)</f>
        <v>6520</v>
      </c>
      <c r="F9" s="150">
        <f t="shared" si="1"/>
        <v>8264</v>
      </c>
      <c r="G9" s="150">
        <f t="shared" si="1"/>
        <v>8220</v>
      </c>
      <c r="H9" s="150">
        <f t="shared" si="1"/>
        <v>1680</v>
      </c>
      <c r="I9" s="150">
        <f t="shared" si="1"/>
        <v>268800</v>
      </c>
      <c r="J9" s="150">
        <f t="shared" si="1"/>
        <v>0</v>
      </c>
      <c r="K9" s="150">
        <f t="shared" si="1"/>
        <v>0</v>
      </c>
      <c r="L9" s="150">
        <f t="shared" si="1"/>
        <v>0</v>
      </c>
      <c r="M9" s="150">
        <f t="shared" si="1"/>
        <v>0</v>
      </c>
      <c r="N9" s="150">
        <f t="shared" si="1"/>
        <v>0</v>
      </c>
      <c r="O9" s="150">
        <f t="shared" si="1"/>
        <v>0</v>
      </c>
      <c r="P9" s="150">
        <f t="shared" si="1"/>
        <v>0</v>
      </c>
      <c r="Q9" s="150">
        <f t="shared" si="1"/>
        <v>0</v>
      </c>
      <c r="R9" s="150">
        <f t="shared" si="1"/>
        <v>0</v>
      </c>
      <c r="S9" s="150">
        <f t="shared" si="1"/>
        <v>0</v>
      </c>
      <c r="T9" s="150">
        <f t="shared" si="1"/>
        <v>0</v>
      </c>
      <c r="U9" s="150">
        <f t="shared" si="1"/>
        <v>0</v>
      </c>
      <c r="V9" s="150">
        <f t="shared" si="1"/>
        <v>0</v>
      </c>
      <c r="W9" s="150">
        <f t="shared" si="1"/>
        <v>0</v>
      </c>
      <c r="X9" s="150">
        <f t="shared" si="1"/>
        <v>0</v>
      </c>
      <c r="Y9" s="150">
        <f t="shared" si="1"/>
        <v>0</v>
      </c>
      <c r="Z9" s="150">
        <f t="shared" si="1"/>
        <v>0</v>
      </c>
      <c r="AA9" s="150">
        <f t="shared" si="1"/>
        <v>0</v>
      </c>
      <c r="AB9" s="150">
        <f t="shared" si="1"/>
        <v>0</v>
      </c>
      <c r="AC9" s="150">
        <f t="shared" si="1"/>
        <v>0</v>
      </c>
      <c r="AD9" s="77"/>
    </row>
    <row r="10">
      <c r="A10" s="77"/>
      <c r="B10" s="77"/>
      <c r="C10" s="77"/>
      <c r="D10" s="151"/>
      <c r="E10" s="152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</row>
    <row r="13">
      <c r="A13" s="77"/>
      <c r="B13" s="77"/>
      <c r="C13" s="136" t="s">
        <v>95</v>
      </c>
      <c r="K13" s="2">
        <v>9.0</v>
      </c>
      <c r="L13" s="153">
        <v>0.5</v>
      </c>
      <c r="AD13" s="77"/>
    </row>
    <row r="14">
      <c r="A14" s="77"/>
      <c r="B14" s="77"/>
      <c r="C14" s="2" t="s">
        <v>104</v>
      </c>
      <c r="K14" s="2">
        <v>1.0</v>
      </c>
      <c r="L14" s="153">
        <f>K14*L13/K13</f>
        <v>0.05555555556</v>
      </c>
      <c r="AD14" s="77"/>
    </row>
    <row r="15">
      <c r="A15" s="77"/>
      <c r="B15" s="77"/>
      <c r="C15" s="2" t="s">
        <v>49</v>
      </c>
      <c r="AD15" s="77"/>
    </row>
    <row r="16">
      <c r="A16" s="77"/>
      <c r="B16" s="77"/>
      <c r="C16" s="2" t="s">
        <v>97</v>
      </c>
      <c r="AD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</row>
    <row r="18">
      <c r="A18" s="77"/>
      <c r="B18" s="77"/>
      <c r="C18" s="136" t="s">
        <v>100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</row>
    <row r="19" ht="17.25" customHeight="1">
      <c r="A19" s="77"/>
      <c r="B19" s="77"/>
      <c r="C19" s="2" t="s">
        <v>105</v>
      </c>
      <c r="D19" s="77"/>
      <c r="E19" s="77"/>
      <c r="F19" s="77"/>
      <c r="G19" s="77"/>
      <c r="H19" s="77"/>
      <c r="I19" s="2" t="s">
        <v>106</v>
      </c>
      <c r="J19" s="2" t="s">
        <v>107</v>
      </c>
      <c r="K19" s="144">
        <f>L14/FW</f>
        <v>0.007936507937</v>
      </c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</row>
    <row r="20">
      <c r="A20" s="77"/>
      <c r="B20" s="77"/>
      <c r="C20" s="2" t="s">
        <v>108</v>
      </c>
      <c r="D20" s="77"/>
      <c r="E20" s="77"/>
      <c r="F20" s="77"/>
      <c r="G20" s="77"/>
      <c r="H20" s="77"/>
      <c r="I20" s="2">
        <v>7.0</v>
      </c>
      <c r="J20" s="2" t="s">
        <v>109</v>
      </c>
      <c r="K20" s="144">
        <v>0.01020408163265306</v>
      </c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</row>
    <row r="21" ht="15.75" customHeight="1">
      <c r="A21" s="77"/>
      <c r="B21" s="77"/>
      <c r="C21" s="77"/>
      <c r="D21" s="77"/>
      <c r="E21" s="77"/>
      <c r="F21" s="77"/>
      <c r="G21" s="77"/>
      <c r="H21" s="77"/>
      <c r="I21" s="77"/>
      <c r="J21" s="2" t="s">
        <v>110</v>
      </c>
      <c r="K21" s="144">
        <v>0.01020408163265306</v>
      </c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 ht="15.75" customHeight="1">
      <c r="A22" s="77"/>
      <c r="B22" s="77"/>
      <c r="J22" s="2" t="s">
        <v>111</v>
      </c>
      <c r="K22" s="144">
        <v>0.01020408163265306</v>
      </c>
      <c r="L22" s="77"/>
      <c r="AD22" s="77">
        <v>100.0</v>
      </c>
    </row>
    <row r="23" ht="15.75" customHeight="1">
      <c r="A23" s="77"/>
      <c r="B23" s="77"/>
      <c r="J23" s="2" t="s">
        <v>112</v>
      </c>
      <c r="K23" s="144">
        <v>0.01020408163265306</v>
      </c>
      <c r="L23" s="77"/>
      <c r="AD23" s="77"/>
    </row>
    <row r="24" ht="15.75" customHeight="1">
      <c r="A24" s="77"/>
      <c r="B24" s="77"/>
      <c r="J24" s="2" t="s">
        <v>113</v>
      </c>
      <c r="K24" s="144">
        <v>0.01020408163265306</v>
      </c>
      <c r="L24" s="77"/>
      <c r="AD24" s="77"/>
    </row>
    <row r="25" ht="15.75" customHeight="1">
      <c r="A25" s="77"/>
      <c r="B25" s="77"/>
      <c r="J25" s="2" t="s">
        <v>114</v>
      </c>
      <c r="K25" s="144">
        <v>0.01020408163265306</v>
      </c>
      <c r="L25" s="77"/>
      <c r="AD25" s="77"/>
    </row>
    <row r="26" ht="15.75" customHeight="1">
      <c r="A26" s="77"/>
      <c r="B26" s="77"/>
      <c r="AD26" s="77"/>
    </row>
    <row r="27" ht="15.75" customHeight="1">
      <c r="A27" s="77"/>
      <c r="B27" s="77"/>
      <c r="AD27" s="77"/>
    </row>
    <row r="28" ht="15.75" customHeight="1">
      <c r="A28" s="77"/>
      <c r="B28" s="77"/>
      <c r="AD28" s="77"/>
    </row>
    <row r="29" ht="15.75" customHeight="1">
      <c r="A29" s="77"/>
      <c r="B29" s="77"/>
      <c r="AD29" s="77"/>
    </row>
    <row r="30" ht="15.75" customHeight="1">
      <c r="A30" s="77"/>
      <c r="B30" s="77"/>
      <c r="AD30" s="77"/>
    </row>
    <row r="31" ht="15.75" customHeight="1">
      <c r="A31" s="77"/>
      <c r="B31" s="77"/>
      <c r="AD31" s="77"/>
    </row>
    <row r="32" ht="15.75" customHeight="1">
      <c r="A32" s="77"/>
      <c r="B32" s="77"/>
      <c r="AD32" s="77"/>
    </row>
    <row r="33" ht="15.75" customHeight="1">
      <c r="A33" s="77"/>
      <c r="B33" s="77"/>
      <c r="AD33" s="77"/>
    </row>
    <row r="34" ht="15.75" customHeight="1">
      <c r="A34" s="77"/>
      <c r="B34" s="77"/>
      <c r="AD34" s="77"/>
    </row>
    <row r="35" ht="15.75" customHeight="1">
      <c r="A35" s="77"/>
      <c r="B35" s="77"/>
      <c r="AD35" s="77"/>
    </row>
    <row r="36" ht="15.75" customHeight="1">
      <c r="A36" s="77"/>
      <c r="B36" s="77"/>
      <c r="AD36" s="77"/>
    </row>
    <row r="37" ht="15.75" customHeight="1">
      <c r="A37" s="77"/>
      <c r="B37" s="77"/>
      <c r="AD37" s="77"/>
    </row>
    <row r="38" ht="15.75" customHeight="1">
      <c r="A38" s="77"/>
      <c r="B38" s="77"/>
      <c r="AD38" s="77"/>
    </row>
    <row r="39" ht="15.75" customHeight="1">
      <c r="A39" s="77"/>
      <c r="B39" s="77"/>
      <c r="AD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</row>
    <row r="42" ht="15.75" customHeight="1">
      <c r="A42" s="77"/>
      <c r="B42" s="77"/>
      <c r="C42" s="77"/>
      <c r="D42" s="144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</row>
    <row r="43" ht="15.75" customHeight="1">
      <c r="A43" s="77"/>
      <c r="B43" s="77"/>
      <c r="C43" s="77"/>
      <c r="D43" s="144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</row>
  </sheetData>
  <mergeCells count="4">
    <mergeCell ref="E2:Q2"/>
    <mergeCell ref="B3:B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21.0"/>
    <col customWidth="1" min="3" max="3" width="72.43"/>
    <col customWidth="1" min="4" max="10" width="5.57"/>
    <col customWidth="1" min="11" max="11" width="7.29"/>
    <col customWidth="1" min="12" max="12" width="17.29"/>
    <col customWidth="1" min="13" max="13" width="8.71"/>
    <col customWidth="1" min="14" max="14" width="9.14"/>
    <col customWidth="1" min="15" max="15" width="17.0"/>
    <col customWidth="1" min="16" max="31" width="8.71"/>
  </cols>
  <sheetData>
    <row r="1">
      <c r="A1" s="154" t="s">
        <v>21</v>
      </c>
      <c r="B1" s="154" t="s">
        <v>115</v>
      </c>
      <c r="C1" s="154" t="s">
        <v>116</v>
      </c>
      <c r="D1" s="155" t="s">
        <v>117</v>
      </c>
      <c r="E1" s="155" t="s">
        <v>118</v>
      </c>
      <c r="F1" s="155" t="s">
        <v>119</v>
      </c>
      <c r="G1" s="155" t="s">
        <v>120</v>
      </c>
      <c r="H1" s="155" t="s">
        <v>121</v>
      </c>
      <c r="I1" s="155" t="s">
        <v>122</v>
      </c>
      <c r="J1" s="155" t="s">
        <v>123</v>
      </c>
      <c r="K1" s="156" t="s">
        <v>124</v>
      </c>
      <c r="L1" s="157" t="s">
        <v>125</v>
      </c>
      <c r="M1" s="154" t="s">
        <v>21</v>
      </c>
      <c r="N1" s="158" t="s">
        <v>23</v>
      </c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</row>
    <row r="2" ht="13.5" customHeight="1">
      <c r="A2" s="2" t="s">
        <v>126</v>
      </c>
      <c r="B2" s="160" t="s">
        <v>127</v>
      </c>
      <c r="K2" s="2">
        <v>5.0</v>
      </c>
      <c r="L2" s="161">
        <v>43681.0</v>
      </c>
      <c r="M2" s="162" t="s">
        <v>26</v>
      </c>
      <c r="N2" s="163">
        <v>165.0</v>
      </c>
    </row>
    <row r="3" ht="13.5" customHeight="1">
      <c r="A3" s="2" t="s">
        <v>126</v>
      </c>
      <c r="B3" s="160" t="s">
        <v>128</v>
      </c>
      <c r="K3" s="2">
        <v>40.0</v>
      </c>
      <c r="L3" s="161">
        <v>43681.0</v>
      </c>
      <c r="M3" s="162" t="s">
        <v>26</v>
      </c>
      <c r="N3" s="163">
        <v>165.0</v>
      </c>
    </row>
    <row r="4" ht="13.5" customHeight="1">
      <c r="A4" s="2" t="s">
        <v>126</v>
      </c>
      <c r="B4" s="160" t="s">
        <v>129</v>
      </c>
      <c r="K4" s="2">
        <v>26.0</v>
      </c>
      <c r="L4" s="161">
        <v>43681.0</v>
      </c>
      <c r="M4" s="162" t="s">
        <v>26</v>
      </c>
      <c r="N4" s="163">
        <v>165.0</v>
      </c>
    </row>
    <row r="5" ht="13.5" customHeight="1">
      <c r="A5" s="2" t="s">
        <v>126</v>
      </c>
      <c r="B5" s="160" t="s">
        <v>130</v>
      </c>
      <c r="K5" s="2">
        <v>31.0</v>
      </c>
      <c r="L5" s="161">
        <v>43681.0</v>
      </c>
      <c r="M5" s="162" t="s">
        <v>26</v>
      </c>
      <c r="N5" s="163">
        <v>165.0</v>
      </c>
    </row>
    <row r="6" ht="13.5" customHeight="1">
      <c r="A6" s="2" t="s">
        <v>126</v>
      </c>
      <c r="B6" s="160" t="s">
        <v>127</v>
      </c>
      <c r="K6" s="160">
        <v>7.0</v>
      </c>
      <c r="L6" s="161">
        <v>43688.0</v>
      </c>
      <c r="M6" s="162" t="s">
        <v>26</v>
      </c>
      <c r="N6" s="163">
        <v>165.0</v>
      </c>
    </row>
    <row r="7" ht="13.5" customHeight="1">
      <c r="A7" s="2" t="s">
        <v>126</v>
      </c>
      <c r="B7" s="160" t="s">
        <v>131</v>
      </c>
      <c r="K7" s="160">
        <v>16.0</v>
      </c>
      <c r="L7" s="161">
        <v>43688.0</v>
      </c>
      <c r="M7" s="162" t="s">
        <v>26</v>
      </c>
      <c r="N7" s="163">
        <v>165.0</v>
      </c>
    </row>
    <row r="8" ht="13.5" customHeight="1">
      <c r="A8" s="2" t="s">
        <v>126</v>
      </c>
      <c r="B8" s="160" t="s">
        <v>132</v>
      </c>
      <c r="K8" s="160">
        <v>12.0</v>
      </c>
      <c r="L8" s="161">
        <v>43688.0</v>
      </c>
      <c r="M8" s="162" t="s">
        <v>26</v>
      </c>
      <c r="N8" s="163">
        <v>165.0</v>
      </c>
    </row>
    <row r="9" ht="13.5" customHeight="1">
      <c r="A9" s="2" t="s">
        <v>126</v>
      </c>
      <c r="B9" s="160" t="s">
        <v>129</v>
      </c>
      <c r="K9" s="160">
        <v>11.0</v>
      </c>
      <c r="L9" s="161">
        <v>43688.0</v>
      </c>
      <c r="M9" s="162" t="s">
        <v>26</v>
      </c>
      <c r="N9" s="163">
        <v>165.0</v>
      </c>
    </row>
    <row r="10" ht="13.5" customHeight="1">
      <c r="A10" s="2" t="s">
        <v>126</v>
      </c>
      <c r="B10" s="160" t="s">
        <v>129</v>
      </c>
      <c r="K10" s="160">
        <v>10.0</v>
      </c>
      <c r="L10" s="161">
        <v>43688.0</v>
      </c>
      <c r="M10" s="162" t="s">
        <v>26</v>
      </c>
      <c r="N10" s="163">
        <v>165.0</v>
      </c>
    </row>
    <row r="11" ht="13.5" customHeight="1">
      <c r="A11" s="2" t="s">
        <v>126</v>
      </c>
      <c r="B11" s="160" t="s">
        <v>129</v>
      </c>
      <c r="K11" s="160">
        <v>1.5</v>
      </c>
      <c r="L11" s="161">
        <v>43688.0</v>
      </c>
      <c r="M11" s="162" t="s">
        <v>26</v>
      </c>
      <c r="N11" s="163">
        <v>165.0</v>
      </c>
    </row>
    <row r="12" ht="13.5" customHeight="1">
      <c r="A12" s="2" t="s">
        <v>126</v>
      </c>
      <c r="B12" s="160" t="s">
        <v>129</v>
      </c>
      <c r="K12" s="160">
        <v>3.5</v>
      </c>
      <c r="L12" s="161">
        <v>43688.0</v>
      </c>
      <c r="M12" s="162" t="s">
        <v>26</v>
      </c>
      <c r="N12" s="163">
        <v>165.0</v>
      </c>
    </row>
    <row r="13" ht="13.5" customHeight="1">
      <c r="A13" s="2" t="s">
        <v>126</v>
      </c>
      <c r="B13" s="160" t="s">
        <v>129</v>
      </c>
      <c r="K13" s="160">
        <v>0.5</v>
      </c>
      <c r="L13" s="161">
        <v>43688.0</v>
      </c>
      <c r="M13" s="162" t="s">
        <v>26</v>
      </c>
      <c r="N13" s="163">
        <v>165.0</v>
      </c>
    </row>
    <row r="14" ht="13.5" customHeight="1">
      <c r="A14" s="2" t="s">
        <v>126</v>
      </c>
      <c r="B14" s="160" t="s">
        <v>130</v>
      </c>
      <c r="K14" s="160">
        <v>14.0</v>
      </c>
      <c r="L14" s="161">
        <v>43688.0</v>
      </c>
      <c r="M14" s="162" t="s">
        <v>26</v>
      </c>
      <c r="N14" s="163">
        <v>165.0</v>
      </c>
    </row>
    <row r="15" ht="13.5" customHeight="1">
      <c r="A15" s="2" t="s">
        <v>126</v>
      </c>
      <c r="L15" s="161"/>
      <c r="M15" s="162" t="s">
        <v>26</v>
      </c>
      <c r="N15" s="163">
        <v>165.0</v>
      </c>
    </row>
    <row r="16" ht="13.5" customHeight="1">
      <c r="A16" s="2" t="s">
        <v>126</v>
      </c>
      <c r="L16" s="161"/>
      <c r="M16" s="162" t="s">
        <v>26</v>
      </c>
      <c r="N16" s="163">
        <v>165.0</v>
      </c>
    </row>
    <row r="17" ht="13.5" customHeight="1">
      <c r="A17" s="2" t="s">
        <v>126</v>
      </c>
      <c r="L17" s="161"/>
      <c r="M17" s="162" t="s">
        <v>26</v>
      </c>
      <c r="N17" s="163">
        <v>165.0</v>
      </c>
    </row>
    <row r="18" ht="13.5" customHeight="1">
      <c r="A18" s="2" t="s">
        <v>126</v>
      </c>
      <c r="L18" s="161"/>
      <c r="M18" s="162" t="s">
        <v>26</v>
      </c>
      <c r="N18" s="163">
        <v>165.0</v>
      </c>
    </row>
    <row r="19" ht="13.5" customHeight="1">
      <c r="A19" s="2" t="s">
        <v>126</v>
      </c>
      <c r="L19" s="161"/>
      <c r="M19" s="162" t="s">
        <v>26</v>
      </c>
      <c r="N19" s="163">
        <v>165.0</v>
      </c>
    </row>
    <row r="20" ht="13.5" customHeight="1">
      <c r="A20" s="2" t="s">
        <v>126</v>
      </c>
      <c r="L20" s="161"/>
      <c r="M20" s="162" t="s">
        <v>26</v>
      </c>
      <c r="N20" s="163">
        <v>165.0</v>
      </c>
    </row>
    <row r="21" ht="13.5" customHeight="1">
      <c r="A21" s="2" t="s">
        <v>126</v>
      </c>
      <c r="L21" s="161"/>
      <c r="M21" s="162" t="s">
        <v>26</v>
      </c>
      <c r="N21" s="163">
        <v>165.0</v>
      </c>
    </row>
    <row r="22" ht="13.5" customHeight="1">
      <c r="A22" s="2" t="s">
        <v>126</v>
      </c>
      <c r="L22" s="161"/>
      <c r="M22" s="162" t="s">
        <v>26</v>
      </c>
      <c r="N22" s="163">
        <v>165.0</v>
      </c>
    </row>
    <row r="23" ht="13.5" customHeight="1">
      <c r="A23" s="2" t="s">
        <v>126</v>
      </c>
      <c r="L23" s="161"/>
      <c r="M23" s="162" t="s">
        <v>26</v>
      </c>
      <c r="N23" s="163">
        <v>165.0</v>
      </c>
    </row>
    <row r="24" ht="13.5" customHeight="1">
      <c r="A24" s="2" t="s">
        <v>126</v>
      </c>
      <c r="L24" s="161"/>
      <c r="M24" s="162" t="s">
        <v>26</v>
      </c>
      <c r="N24" s="163">
        <v>165.0</v>
      </c>
    </row>
    <row r="25" ht="13.5" customHeight="1">
      <c r="A25" s="2" t="s">
        <v>126</v>
      </c>
      <c r="L25" s="161"/>
      <c r="M25" s="162" t="s">
        <v>26</v>
      </c>
      <c r="N25" s="163">
        <v>165.0</v>
      </c>
    </row>
    <row r="26" ht="13.5" customHeight="1">
      <c r="A26" s="2" t="s">
        <v>126</v>
      </c>
      <c r="L26" s="161"/>
      <c r="M26" s="162" t="s">
        <v>26</v>
      </c>
      <c r="N26" s="163">
        <v>165.0</v>
      </c>
    </row>
    <row r="27" ht="13.5" customHeight="1">
      <c r="A27" s="2" t="s">
        <v>126</v>
      </c>
      <c r="L27" s="161"/>
      <c r="M27" s="162"/>
      <c r="N27" s="163"/>
    </row>
    <row r="28" ht="13.5" customHeight="1">
      <c r="A28" s="2" t="s">
        <v>126</v>
      </c>
      <c r="L28" s="161"/>
      <c r="M28" s="162"/>
      <c r="N28" s="163"/>
    </row>
    <row r="29" ht="13.5" customHeight="1">
      <c r="A29" s="2" t="s">
        <v>126</v>
      </c>
      <c r="L29" s="161"/>
      <c r="M29" s="162"/>
      <c r="N29" s="163"/>
    </row>
    <row r="30" ht="13.5" customHeight="1">
      <c r="A30" s="2" t="s">
        <v>126</v>
      </c>
      <c r="L30" s="161"/>
      <c r="M30" s="162"/>
      <c r="N30" s="163"/>
    </row>
    <row r="31" ht="13.5" customHeight="1">
      <c r="A31" s="2" t="s">
        <v>126</v>
      </c>
      <c r="B31" s="160"/>
      <c r="C31" s="160"/>
      <c r="D31" s="77"/>
      <c r="E31" s="77"/>
      <c r="F31" s="77"/>
      <c r="G31" s="77"/>
      <c r="H31" s="77"/>
      <c r="I31" s="77"/>
      <c r="J31" s="77"/>
      <c r="K31" s="77"/>
      <c r="L31" s="164"/>
      <c r="M31" s="162"/>
      <c r="N31" s="163"/>
    </row>
    <row r="32" ht="13.5" customHeight="1">
      <c r="A32" s="2" t="s">
        <v>126</v>
      </c>
      <c r="B32" s="160"/>
      <c r="C32" s="160"/>
      <c r="D32" s="77"/>
      <c r="E32" s="77"/>
      <c r="F32" s="77"/>
      <c r="G32" s="77"/>
      <c r="H32" s="77"/>
      <c r="I32" s="77"/>
      <c r="J32" s="77"/>
      <c r="K32" s="77"/>
      <c r="L32" s="164"/>
      <c r="M32" s="162"/>
      <c r="N32" s="163"/>
    </row>
    <row r="33" ht="13.5" customHeight="1">
      <c r="A33" s="2" t="s">
        <v>126</v>
      </c>
      <c r="B33" s="160"/>
      <c r="C33" s="160"/>
      <c r="D33" s="77"/>
      <c r="E33" s="77"/>
      <c r="F33" s="77"/>
      <c r="G33" s="77"/>
      <c r="H33" s="77"/>
      <c r="I33" s="77"/>
      <c r="J33" s="77"/>
      <c r="K33" s="77"/>
      <c r="L33" s="164"/>
      <c r="M33" s="162"/>
      <c r="N33" s="163"/>
    </row>
    <row r="34" ht="13.5" customHeight="1">
      <c r="A34" s="2" t="s">
        <v>126</v>
      </c>
      <c r="B34" s="160"/>
      <c r="C34" s="160"/>
      <c r="D34" s="77"/>
      <c r="E34" s="77"/>
      <c r="F34" s="77"/>
      <c r="G34" s="77"/>
      <c r="H34" s="77"/>
      <c r="I34" s="77"/>
      <c r="J34" s="77"/>
      <c r="K34" s="77"/>
      <c r="L34" s="164"/>
      <c r="M34" s="162"/>
      <c r="N34" s="163"/>
    </row>
    <row r="35" ht="13.5" customHeight="1">
      <c r="A35" s="2" t="s">
        <v>126</v>
      </c>
      <c r="B35" s="160"/>
      <c r="C35" s="160"/>
      <c r="D35" s="77"/>
      <c r="E35" s="77"/>
      <c r="F35" s="77"/>
      <c r="G35" s="77"/>
      <c r="H35" s="77"/>
      <c r="I35" s="77"/>
      <c r="J35" s="77"/>
      <c r="K35" s="77"/>
      <c r="L35" s="164"/>
      <c r="M35" s="162"/>
      <c r="N35" s="163"/>
    </row>
    <row r="36" ht="13.5" customHeight="1">
      <c r="A36" s="2" t="s">
        <v>126</v>
      </c>
      <c r="B36" s="160"/>
      <c r="C36" s="160"/>
      <c r="D36" s="77"/>
      <c r="E36" s="77"/>
      <c r="F36" s="77"/>
      <c r="G36" s="77"/>
      <c r="H36" s="77"/>
      <c r="I36" s="77"/>
      <c r="J36" s="77"/>
      <c r="K36" s="77"/>
      <c r="L36" s="164"/>
      <c r="M36" s="162"/>
      <c r="N36" s="163"/>
    </row>
    <row r="37" ht="13.5" customHeight="1">
      <c r="A37" s="2" t="s">
        <v>126</v>
      </c>
      <c r="B37" s="160"/>
      <c r="C37" s="160"/>
      <c r="D37" s="77"/>
      <c r="E37" s="77"/>
      <c r="F37" s="77"/>
      <c r="G37" s="77"/>
      <c r="H37" s="77"/>
      <c r="I37" s="77"/>
      <c r="J37" s="77"/>
      <c r="K37" s="77"/>
      <c r="L37" s="164"/>
      <c r="M37" s="162"/>
      <c r="N37" s="163"/>
    </row>
    <row r="38" ht="13.5" customHeight="1">
      <c r="A38" s="2" t="s">
        <v>126</v>
      </c>
      <c r="B38" s="160"/>
      <c r="C38" s="160"/>
      <c r="D38" s="162"/>
      <c r="E38" s="162"/>
      <c r="F38" s="162"/>
      <c r="G38" s="162"/>
      <c r="H38" s="162"/>
      <c r="I38" s="162"/>
      <c r="J38" s="162"/>
      <c r="K38" s="165"/>
      <c r="L38" s="164"/>
      <c r="M38" s="162" t="s">
        <v>26</v>
      </c>
      <c r="N38" s="163">
        <f>(ACTUALS!Hourly_Rate)</f>
        <v>165</v>
      </c>
    </row>
    <row r="39" ht="13.5" customHeight="1">
      <c r="A39" s="2" t="s">
        <v>126</v>
      </c>
      <c r="B39" s="160"/>
      <c r="C39" s="160"/>
      <c r="D39" s="162"/>
      <c r="E39" s="162"/>
      <c r="F39" s="162"/>
      <c r="G39" s="162"/>
      <c r="H39" s="162"/>
      <c r="I39" s="162"/>
      <c r="J39" s="162"/>
      <c r="K39" s="165"/>
      <c r="L39" s="164"/>
      <c r="M39" s="162" t="s">
        <v>26</v>
      </c>
      <c r="N39" s="163">
        <f>(ACTUALS!Hourly_Rate)</f>
        <v>165</v>
      </c>
    </row>
    <row r="40" ht="13.5" customHeight="1">
      <c r="A40" s="2" t="s">
        <v>126</v>
      </c>
      <c r="B40" s="160"/>
      <c r="C40" s="160"/>
      <c r="D40" s="162"/>
      <c r="E40" s="162"/>
      <c r="F40" s="162"/>
      <c r="G40" s="162"/>
      <c r="H40" s="162"/>
      <c r="I40" s="162"/>
      <c r="J40" s="162"/>
      <c r="K40" s="165"/>
      <c r="L40" s="164"/>
      <c r="M40" s="162" t="s">
        <v>26</v>
      </c>
      <c r="N40" s="163">
        <f>(ACTUALS!Hourly_Rate)</f>
        <v>165</v>
      </c>
    </row>
    <row r="41" ht="13.5" customHeight="1">
      <c r="A41" s="2" t="s">
        <v>126</v>
      </c>
      <c r="B41" s="160"/>
      <c r="C41" s="160"/>
      <c r="D41" s="162"/>
      <c r="E41" s="162"/>
      <c r="F41" s="162"/>
      <c r="G41" s="162"/>
      <c r="H41" s="162"/>
      <c r="I41" s="162"/>
      <c r="J41" s="162"/>
      <c r="K41" s="165"/>
      <c r="L41" s="164"/>
      <c r="M41" s="162" t="s">
        <v>26</v>
      </c>
      <c r="N41" s="163">
        <f>(ACTUALS!Hourly_Rate)</f>
        <v>165</v>
      </c>
    </row>
    <row r="42" ht="13.5" customHeight="1">
      <c r="A42" s="2" t="s">
        <v>126</v>
      </c>
      <c r="B42" s="160"/>
      <c r="C42" s="160"/>
      <c r="D42" s="162"/>
      <c r="E42" s="162"/>
      <c r="F42" s="162"/>
      <c r="G42" s="162"/>
      <c r="H42" s="162"/>
      <c r="I42" s="162"/>
      <c r="J42" s="162"/>
      <c r="K42" s="165"/>
      <c r="L42" s="164"/>
      <c r="M42" s="162" t="s">
        <v>26</v>
      </c>
      <c r="N42" s="163">
        <f>(ACTUALS!Hourly_Rate)</f>
        <v>165</v>
      </c>
    </row>
    <row r="43" ht="13.5" customHeight="1">
      <c r="A43" s="2" t="s">
        <v>126</v>
      </c>
      <c r="B43" s="160"/>
      <c r="C43" s="160"/>
      <c r="D43" s="162"/>
      <c r="E43" s="162"/>
      <c r="F43" s="162"/>
      <c r="G43" s="162"/>
      <c r="H43" s="162"/>
      <c r="I43" s="162"/>
      <c r="J43" s="162"/>
      <c r="K43" s="165"/>
      <c r="L43" s="164"/>
      <c r="M43" s="162" t="s">
        <v>26</v>
      </c>
      <c r="N43" s="163">
        <f>(ACTUALS!Hourly_Rate)</f>
        <v>165</v>
      </c>
    </row>
    <row r="44" ht="13.5" customHeight="1">
      <c r="A44" s="2" t="s">
        <v>126</v>
      </c>
      <c r="B44" s="160"/>
      <c r="C44" s="160"/>
      <c r="D44" s="162"/>
      <c r="E44" s="162"/>
      <c r="F44" s="162"/>
      <c r="G44" s="162"/>
      <c r="H44" s="162"/>
      <c r="I44" s="162"/>
      <c r="J44" s="162"/>
      <c r="K44" s="165"/>
      <c r="L44" s="164"/>
      <c r="M44" s="162" t="s">
        <v>26</v>
      </c>
      <c r="N44" s="163">
        <f>(ACTUALS!Hourly_Rate)</f>
        <v>165</v>
      </c>
    </row>
    <row r="45" ht="13.5" customHeight="1">
      <c r="A45" s="2" t="s">
        <v>126</v>
      </c>
      <c r="B45" s="160"/>
      <c r="C45" s="160"/>
      <c r="D45" s="162"/>
      <c r="E45" s="162"/>
      <c r="F45" s="162"/>
      <c r="G45" s="162"/>
      <c r="H45" s="162"/>
      <c r="I45" s="162"/>
      <c r="J45" s="162"/>
      <c r="K45" s="165"/>
      <c r="L45" s="164"/>
      <c r="M45" s="162" t="s">
        <v>26</v>
      </c>
      <c r="N45" s="163">
        <f>(ACTUALS!Hourly_Rate)</f>
        <v>165</v>
      </c>
    </row>
    <row r="46" ht="13.5" customHeight="1">
      <c r="A46" s="2" t="s">
        <v>126</v>
      </c>
      <c r="B46" s="160"/>
      <c r="C46" s="160"/>
      <c r="D46" s="162"/>
      <c r="E46" s="162"/>
      <c r="F46" s="162"/>
      <c r="G46" s="162"/>
      <c r="H46" s="162"/>
      <c r="I46" s="162"/>
      <c r="J46" s="162"/>
      <c r="K46" s="165"/>
      <c r="L46" s="164"/>
      <c r="M46" s="162" t="s">
        <v>26</v>
      </c>
      <c r="N46" s="163">
        <f>(ACTUALS!Hourly_Rate)</f>
        <v>165</v>
      </c>
    </row>
    <row r="47" ht="13.5" customHeight="1">
      <c r="A47" s="2" t="s">
        <v>126</v>
      </c>
      <c r="B47" s="160"/>
      <c r="C47" s="160"/>
      <c r="D47" s="162"/>
      <c r="E47" s="162"/>
      <c r="F47" s="162"/>
      <c r="G47" s="162"/>
      <c r="H47" s="162"/>
      <c r="I47" s="162"/>
      <c r="J47" s="162"/>
      <c r="K47" s="165"/>
      <c r="L47" s="164"/>
      <c r="M47" s="162" t="s">
        <v>26</v>
      </c>
      <c r="N47" s="163">
        <f>(ACTUALS!Hourly_Rate)</f>
        <v>165</v>
      </c>
    </row>
    <row r="48" ht="13.5" customHeight="1">
      <c r="A48" s="2" t="s">
        <v>126</v>
      </c>
      <c r="B48" s="160"/>
      <c r="C48" s="160"/>
      <c r="D48" s="162"/>
      <c r="E48" s="162"/>
      <c r="F48" s="162"/>
      <c r="G48" s="162"/>
      <c r="H48" s="162"/>
      <c r="I48" s="162"/>
      <c r="J48" s="162"/>
      <c r="K48" s="165"/>
      <c r="L48" s="164"/>
      <c r="M48" s="162" t="s">
        <v>26</v>
      </c>
      <c r="N48" s="163">
        <f>(ACTUALS!Hourly_Rate)</f>
        <v>165</v>
      </c>
    </row>
    <row r="49" ht="13.5" customHeight="1">
      <c r="A49" s="2" t="s">
        <v>126</v>
      </c>
      <c r="B49" s="160"/>
      <c r="C49" s="160"/>
      <c r="D49" s="162"/>
      <c r="E49" s="162"/>
      <c r="F49" s="162"/>
      <c r="G49" s="162"/>
      <c r="H49" s="162"/>
      <c r="I49" s="162"/>
      <c r="J49" s="162"/>
      <c r="K49" s="165"/>
      <c r="L49" s="164"/>
      <c r="M49" s="162" t="s">
        <v>26</v>
      </c>
      <c r="N49" s="163">
        <f>(ACTUALS!Hourly_Rate)</f>
        <v>165</v>
      </c>
    </row>
    <row r="50" ht="13.5" customHeight="1">
      <c r="A50" s="2" t="s">
        <v>126</v>
      </c>
      <c r="B50" s="160"/>
      <c r="C50" s="160"/>
      <c r="D50" s="162"/>
      <c r="E50" s="162"/>
      <c r="F50" s="162"/>
      <c r="G50" s="162"/>
      <c r="H50" s="162"/>
      <c r="I50" s="162"/>
      <c r="J50" s="162"/>
      <c r="K50" s="165"/>
      <c r="L50" s="164"/>
      <c r="M50" s="162" t="s">
        <v>26</v>
      </c>
      <c r="N50" s="163">
        <f>(ACTUALS!Hourly_Rate)</f>
        <v>165</v>
      </c>
    </row>
    <row r="51" ht="13.5" customHeight="1">
      <c r="A51" s="2" t="s">
        <v>126</v>
      </c>
      <c r="B51" s="160"/>
      <c r="C51" s="160"/>
      <c r="D51" s="162"/>
      <c r="E51" s="162"/>
      <c r="F51" s="162"/>
      <c r="G51" s="162"/>
      <c r="H51" s="162"/>
      <c r="I51" s="162"/>
      <c r="J51" s="162"/>
      <c r="K51" s="165"/>
      <c r="L51" s="164"/>
      <c r="M51" s="162" t="s">
        <v>26</v>
      </c>
      <c r="N51" s="163">
        <f>(ACTUALS!Hourly_Rate)</f>
        <v>165</v>
      </c>
    </row>
    <row r="52" ht="13.5" customHeight="1">
      <c r="A52" s="2" t="s">
        <v>126</v>
      </c>
      <c r="B52" s="160"/>
      <c r="C52" s="160"/>
      <c r="D52" s="162"/>
      <c r="E52" s="162"/>
      <c r="F52" s="162"/>
      <c r="G52" s="162"/>
      <c r="H52" s="162"/>
      <c r="I52" s="162"/>
      <c r="J52" s="162"/>
      <c r="K52" s="165"/>
      <c r="L52" s="164"/>
      <c r="M52" s="162" t="s">
        <v>26</v>
      </c>
      <c r="N52" s="163">
        <f>(ACTUALS!Hourly_Rate)</f>
        <v>165</v>
      </c>
    </row>
    <row r="53" ht="13.5" customHeight="1">
      <c r="A53" s="2" t="s">
        <v>126</v>
      </c>
      <c r="B53" s="160"/>
      <c r="C53" s="160"/>
      <c r="D53" s="162"/>
      <c r="E53" s="162"/>
      <c r="F53" s="162"/>
      <c r="G53" s="162"/>
      <c r="H53" s="162"/>
      <c r="I53" s="162"/>
      <c r="J53" s="162"/>
      <c r="K53" s="165"/>
      <c r="L53" s="164"/>
      <c r="M53" s="162" t="s">
        <v>26</v>
      </c>
      <c r="N53" s="163">
        <f>(ACTUALS!Hourly_Rate)</f>
        <v>165</v>
      </c>
    </row>
    <row r="54" ht="13.5" customHeight="1">
      <c r="A54" s="2" t="s">
        <v>126</v>
      </c>
      <c r="B54" s="160"/>
      <c r="C54" s="160"/>
      <c r="D54" s="162"/>
      <c r="E54" s="162"/>
      <c r="F54" s="162"/>
      <c r="G54" s="162"/>
      <c r="H54" s="162"/>
      <c r="I54" s="162"/>
      <c r="J54" s="162"/>
      <c r="K54" s="165"/>
      <c r="L54" s="164"/>
      <c r="M54" s="162" t="s">
        <v>26</v>
      </c>
      <c r="N54" s="163">
        <f>(ACTUALS!Hourly_Rate)</f>
        <v>165</v>
      </c>
    </row>
    <row r="55" ht="13.5" customHeight="1">
      <c r="A55" s="2" t="s">
        <v>126</v>
      </c>
      <c r="B55" s="160"/>
      <c r="C55" s="160"/>
      <c r="D55" s="162"/>
      <c r="E55" s="162"/>
      <c r="F55" s="162"/>
      <c r="G55" s="162"/>
      <c r="H55" s="162"/>
      <c r="I55" s="162"/>
      <c r="J55" s="162"/>
      <c r="K55" s="165"/>
      <c r="L55" s="164"/>
      <c r="M55" s="162" t="s">
        <v>26</v>
      </c>
      <c r="N55" s="163">
        <f>(ACTUALS!Hourly_Rate)</f>
        <v>165</v>
      </c>
    </row>
    <row r="56" ht="13.5" customHeight="1">
      <c r="A56" s="2" t="s">
        <v>126</v>
      </c>
      <c r="B56" s="160"/>
      <c r="C56" s="160"/>
      <c r="D56" s="162"/>
      <c r="E56" s="162"/>
      <c r="F56" s="162"/>
      <c r="G56" s="162"/>
      <c r="H56" s="162"/>
      <c r="I56" s="162"/>
      <c r="J56" s="162"/>
      <c r="K56" s="165"/>
      <c r="L56" s="164"/>
      <c r="M56" s="162" t="s">
        <v>26</v>
      </c>
      <c r="N56" s="163">
        <f>(ACTUALS!Hourly_Rate)</f>
        <v>165</v>
      </c>
    </row>
    <row r="57" ht="13.5" customHeight="1">
      <c r="A57" s="2" t="s">
        <v>126</v>
      </c>
      <c r="B57" s="160"/>
      <c r="C57" s="160"/>
      <c r="D57" s="162"/>
      <c r="E57" s="162"/>
      <c r="F57" s="162"/>
      <c r="G57" s="162"/>
      <c r="H57" s="162"/>
      <c r="I57" s="162"/>
      <c r="J57" s="162"/>
      <c r="K57" s="165"/>
      <c r="L57" s="164"/>
      <c r="M57" s="162" t="s">
        <v>26</v>
      </c>
      <c r="N57" s="163">
        <f>(ACTUALS!Hourly_Rate)</f>
        <v>165</v>
      </c>
    </row>
    <row r="58" ht="13.5" customHeight="1">
      <c r="A58" s="2" t="s">
        <v>126</v>
      </c>
      <c r="B58" s="160"/>
      <c r="C58" s="160"/>
      <c r="D58" s="162"/>
      <c r="E58" s="162"/>
      <c r="F58" s="162"/>
      <c r="G58" s="162"/>
      <c r="H58" s="162"/>
      <c r="I58" s="162"/>
      <c r="J58" s="162"/>
      <c r="K58" s="165"/>
      <c r="L58" s="164"/>
      <c r="M58" s="162" t="s">
        <v>26</v>
      </c>
      <c r="N58" s="163">
        <f>(ACTUALS!Hourly_Rate)</f>
        <v>165</v>
      </c>
    </row>
    <row r="59" ht="13.5" customHeight="1">
      <c r="A59" s="2" t="s">
        <v>126</v>
      </c>
      <c r="B59" s="160"/>
      <c r="C59" s="160"/>
      <c r="D59" s="162"/>
      <c r="E59" s="162"/>
      <c r="F59" s="162"/>
      <c r="G59" s="162"/>
      <c r="H59" s="162"/>
      <c r="I59" s="162"/>
      <c r="J59" s="162"/>
      <c r="K59" s="165"/>
      <c r="L59" s="164"/>
      <c r="M59" s="162" t="s">
        <v>26</v>
      </c>
      <c r="N59" s="163">
        <f>(ACTUALS!Hourly_Rate)</f>
        <v>165</v>
      </c>
    </row>
    <row r="60" ht="13.5" customHeight="1">
      <c r="A60" s="2" t="s">
        <v>126</v>
      </c>
      <c r="B60" s="160"/>
      <c r="C60" s="160"/>
      <c r="D60" s="162"/>
      <c r="E60" s="162"/>
      <c r="F60" s="162"/>
      <c r="G60" s="162"/>
      <c r="H60" s="162"/>
      <c r="I60" s="162"/>
      <c r="J60" s="162"/>
      <c r="K60" s="165"/>
      <c r="L60" s="164"/>
      <c r="M60" s="162" t="s">
        <v>26</v>
      </c>
      <c r="N60" s="163">
        <f>(ACTUALS!Hourly_Rate)</f>
        <v>165</v>
      </c>
    </row>
    <row r="61" ht="13.5" customHeight="1">
      <c r="A61" s="2" t="s">
        <v>126</v>
      </c>
      <c r="B61" s="160"/>
      <c r="C61" s="160"/>
      <c r="D61" s="162"/>
      <c r="E61" s="162"/>
      <c r="F61" s="162"/>
      <c r="G61" s="162"/>
      <c r="H61" s="162"/>
      <c r="I61" s="162"/>
      <c r="J61" s="162"/>
      <c r="K61" s="165"/>
      <c r="L61" s="164"/>
      <c r="M61" s="162" t="s">
        <v>26</v>
      </c>
      <c r="N61" s="163">
        <f>(ACTUALS!Hourly_Rate)</f>
        <v>165</v>
      </c>
    </row>
    <row r="62" ht="13.5" customHeight="1">
      <c r="A62" s="2" t="s">
        <v>126</v>
      </c>
      <c r="B62" s="160"/>
      <c r="C62" s="160"/>
      <c r="D62" s="162"/>
      <c r="E62" s="162"/>
      <c r="F62" s="162"/>
      <c r="G62" s="162"/>
      <c r="H62" s="162"/>
      <c r="I62" s="162"/>
      <c r="J62" s="162"/>
      <c r="K62" s="165"/>
      <c r="L62" s="164"/>
      <c r="M62" s="162" t="s">
        <v>26</v>
      </c>
      <c r="N62" s="163">
        <f>(ACTUALS!Hourly_Rate)</f>
        <v>165</v>
      </c>
    </row>
    <row r="63" ht="13.5" customHeight="1">
      <c r="A63" s="2" t="s">
        <v>126</v>
      </c>
      <c r="B63" s="160"/>
      <c r="C63" s="160"/>
      <c r="D63" s="162"/>
      <c r="E63" s="162"/>
      <c r="F63" s="162"/>
      <c r="G63" s="162"/>
      <c r="H63" s="162"/>
      <c r="I63" s="162"/>
      <c r="J63" s="162"/>
      <c r="K63" s="165"/>
      <c r="L63" s="164"/>
      <c r="M63" s="162" t="s">
        <v>26</v>
      </c>
      <c r="N63" s="163">
        <f>(ACTUALS!Hourly_Rate)</f>
        <v>165</v>
      </c>
    </row>
    <row r="64" ht="13.5" customHeight="1">
      <c r="A64" s="2" t="s">
        <v>126</v>
      </c>
      <c r="B64" s="160"/>
      <c r="C64" s="160"/>
      <c r="D64" s="162"/>
      <c r="E64" s="162"/>
      <c r="F64" s="162"/>
      <c r="G64" s="162"/>
      <c r="H64" s="162"/>
      <c r="I64" s="162"/>
      <c r="J64" s="162"/>
      <c r="K64" s="165"/>
      <c r="L64" s="164"/>
      <c r="M64" s="162" t="s">
        <v>26</v>
      </c>
      <c r="N64" s="163">
        <f>(ACTUALS!Hourly_Rate)</f>
        <v>165</v>
      </c>
    </row>
    <row r="65" ht="13.5" customHeight="1">
      <c r="A65" s="2" t="s">
        <v>126</v>
      </c>
      <c r="B65" s="160"/>
      <c r="C65" s="160"/>
      <c r="D65" s="162"/>
      <c r="E65" s="162"/>
      <c r="F65" s="162"/>
      <c r="G65" s="162"/>
      <c r="H65" s="162"/>
      <c r="I65" s="162"/>
      <c r="J65" s="162"/>
      <c r="K65" s="165"/>
      <c r="L65" s="164"/>
      <c r="M65" s="162" t="s">
        <v>26</v>
      </c>
      <c r="N65" s="163">
        <f>(ACTUALS!Hourly_Rate)</f>
        <v>165</v>
      </c>
    </row>
    <row r="66" ht="13.5" customHeight="1">
      <c r="A66" s="2" t="s">
        <v>126</v>
      </c>
      <c r="B66" s="160"/>
      <c r="C66" s="160"/>
      <c r="D66" s="162"/>
      <c r="E66" s="162"/>
      <c r="F66" s="162"/>
      <c r="G66" s="162"/>
      <c r="H66" s="162"/>
      <c r="I66" s="162"/>
      <c r="J66" s="162"/>
      <c r="K66" s="165"/>
      <c r="L66" s="164"/>
      <c r="M66" s="162" t="s">
        <v>26</v>
      </c>
      <c r="N66" s="163">
        <f>(ACTUALS!Hourly_Rate)</f>
        <v>165</v>
      </c>
    </row>
    <row r="67" ht="13.5" customHeight="1">
      <c r="A67" s="2" t="s">
        <v>126</v>
      </c>
      <c r="B67" s="160"/>
      <c r="C67" s="160"/>
      <c r="D67" s="162"/>
      <c r="E67" s="162"/>
      <c r="F67" s="162"/>
      <c r="G67" s="162"/>
      <c r="H67" s="162"/>
      <c r="I67" s="162"/>
      <c r="J67" s="162"/>
      <c r="K67" s="165">
        <f t="shared" ref="K67:K91" si="1">SUM(D67:J67)</f>
        <v>0</v>
      </c>
      <c r="L67" s="164"/>
      <c r="M67" s="162" t="s">
        <v>26</v>
      </c>
      <c r="N67" s="163">
        <f>(ACTUALS!Hourly_Rate)</f>
        <v>165</v>
      </c>
    </row>
    <row r="68" ht="13.5" customHeight="1">
      <c r="A68" s="2" t="s">
        <v>126</v>
      </c>
      <c r="B68" s="160"/>
      <c r="C68" s="160"/>
      <c r="D68" s="162"/>
      <c r="E68" s="162"/>
      <c r="F68" s="162"/>
      <c r="G68" s="162"/>
      <c r="H68" s="162"/>
      <c r="I68" s="162"/>
      <c r="J68" s="162"/>
      <c r="K68" s="165">
        <f t="shared" si="1"/>
        <v>0</v>
      </c>
      <c r="L68" s="164"/>
      <c r="M68" s="162" t="s">
        <v>26</v>
      </c>
      <c r="N68" s="163">
        <f>(ACTUALS!Hourly_Rate)</f>
        <v>165</v>
      </c>
    </row>
    <row r="69" ht="13.5" customHeight="1">
      <c r="A69" s="2" t="s">
        <v>126</v>
      </c>
      <c r="B69" s="160"/>
      <c r="C69" s="160"/>
      <c r="D69" s="162"/>
      <c r="E69" s="162"/>
      <c r="F69" s="162"/>
      <c r="G69" s="162"/>
      <c r="H69" s="162"/>
      <c r="I69" s="162"/>
      <c r="J69" s="162"/>
      <c r="K69" s="165">
        <f t="shared" si="1"/>
        <v>0</v>
      </c>
      <c r="L69" s="164"/>
      <c r="M69" s="162" t="s">
        <v>26</v>
      </c>
      <c r="N69" s="163">
        <f>(ACTUALS!Hourly_Rate)</f>
        <v>165</v>
      </c>
    </row>
    <row r="70" ht="13.5" customHeight="1">
      <c r="A70" s="2" t="s">
        <v>126</v>
      </c>
      <c r="B70" s="160"/>
      <c r="C70" s="160"/>
      <c r="D70" s="162"/>
      <c r="E70" s="162"/>
      <c r="F70" s="162"/>
      <c r="G70" s="162"/>
      <c r="H70" s="162"/>
      <c r="I70" s="162"/>
      <c r="J70" s="162"/>
      <c r="K70" s="165">
        <f t="shared" si="1"/>
        <v>0</v>
      </c>
      <c r="L70" s="164"/>
      <c r="M70" s="162" t="s">
        <v>26</v>
      </c>
      <c r="N70" s="163">
        <f>(ACTUALS!Hourly_Rate)</f>
        <v>165</v>
      </c>
    </row>
    <row r="71" ht="13.5" customHeight="1">
      <c r="A71" s="2" t="s">
        <v>126</v>
      </c>
      <c r="B71" s="160"/>
      <c r="C71" s="160"/>
      <c r="D71" s="162"/>
      <c r="E71" s="162"/>
      <c r="F71" s="162"/>
      <c r="G71" s="162"/>
      <c r="H71" s="162"/>
      <c r="I71" s="162"/>
      <c r="J71" s="162"/>
      <c r="K71" s="165">
        <f t="shared" si="1"/>
        <v>0</v>
      </c>
      <c r="L71" s="164"/>
      <c r="M71" s="162" t="s">
        <v>26</v>
      </c>
      <c r="N71" s="163">
        <f>(ACTUALS!Hourly_Rate)</f>
        <v>165</v>
      </c>
    </row>
    <row r="72" ht="13.5" customHeight="1">
      <c r="A72" s="2" t="s">
        <v>126</v>
      </c>
      <c r="B72" s="160"/>
      <c r="C72" s="160"/>
      <c r="D72" s="162"/>
      <c r="E72" s="162"/>
      <c r="F72" s="162"/>
      <c r="G72" s="162"/>
      <c r="H72" s="162"/>
      <c r="I72" s="162"/>
      <c r="J72" s="162"/>
      <c r="K72" s="165">
        <f t="shared" si="1"/>
        <v>0</v>
      </c>
      <c r="L72" s="164"/>
      <c r="M72" s="162" t="s">
        <v>26</v>
      </c>
      <c r="N72" s="163">
        <f>(ACTUALS!Hourly_Rate)</f>
        <v>165</v>
      </c>
    </row>
    <row r="73" ht="13.5" customHeight="1">
      <c r="A73" s="2" t="s">
        <v>126</v>
      </c>
      <c r="B73" s="160"/>
      <c r="C73" s="160"/>
      <c r="D73" s="162"/>
      <c r="E73" s="162"/>
      <c r="F73" s="162"/>
      <c r="G73" s="162"/>
      <c r="H73" s="162"/>
      <c r="I73" s="162"/>
      <c r="J73" s="162"/>
      <c r="K73" s="165">
        <f t="shared" si="1"/>
        <v>0</v>
      </c>
      <c r="L73" s="164"/>
      <c r="M73" s="162" t="s">
        <v>26</v>
      </c>
      <c r="N73" s="163">
        <f>(ACTUALS!Hourly_Rate)</f>
        <v>165</v>
      </c>
    </row>
    <row r="74" ht="13.5" customHeight="1">
      <c r="A74" s="2" t="s">
        <v>126</v>
      </c>
      <c r="B74" s="160"/>
      <c r="C74" s="160"/>
      <c r="D74" s="162"/>
      <c r="E74" s="162"/>
      <c r="F74" s="162"/>
      <c r="G74" s="162"/>
      <c r="H74" s="162"/>
      <c r="I74" s="162"/>
      <c r="J74" s="162"/>
      <c r="K74" s="165">
        <f t="shared" si="1"/>
        <v>0</v>
      </c>
      <c r="L74" s="164"/>
      <c r="M74" s="162" t="s">
        <v>26</v>
      </c>
      <c r="N74" s="163">
        <f>(ACTUALS!Hourly_Rate)</f>
        <v>165</v>
      </c>
    </row>
    <row r="75" ht="13.5" customHeight="1">
      <c r="A75" s="2" t="s">
        <v>126</v>
      </c>
      <c r="B75" s="160"/>
      <c r="C75" s="160"/>
      <c r="D75" s="162"/>
      <c r="E75" s="162"/>
      <c r="F75" s="162"/>
      <c r="G75" s="162"/>
      <c r="H75" s="162"/>
      <c r="I75" s="162"/>
      <c r="J75" s="162"/>
      <c r="K75" s="165">
        <f t="shared" si="1"/>
        <v>0</v>
      </c>
      <c r="L75" s="164"/>
      <c r="M75" s="162" t="s">
        <v>26</v>
      </c>
      <c r="N75" s="163">
        <f>(ACTUALS!Hourly_Rate)</f>
        <v>165</v>
      </c>
    </row>
    <row r="76" ht="13.5" customHeight="1">
      <c r="A76" s="2" t="s">
        <v>126</v>
      </c>
      <c r="B76" s="160"/>
      <c r="C76" s="160"/>
      <c r="D76" s="162"/>
      <c r="E76" s="162"/>
      <c r="F76" s="162"/>
      <c r="G76" s="162"/>
      <c r="H76" s="162"/>
      <c r="I76" s="162"/>
      <c r="J76" s="162"/>
      <c r="K76" s="165">
        <f t="shared" si="1"/>
        <v>0</v>
      </c>
      <c r="L76" s="164"/>
      <c r="M76" s="162" t="s">
        <v>26</v>
      </c>
      <c r="N76" s="163">
        <f>(ACTUALS!Hourly_Rate)</f>
        <v>165</v>
      </c>
    </row>
    <row r="77" ht="13.5" customHeight="1">
      <c r="A77" s="2" t="s">
        <v>126</v>
      </c>
      <c r="B77" s="160"/>
      <c r="C77" s="160"/>
      <c r="D77" s="162"/>
      <c r="E77" s="162"/>
      <c r="F77" s="162"/>
      <c r="G77" s="162"/>
      <c r="H77" s="162"/>
      <c r="I77" s="162"/>
      <c r="J77" s="162"/>
      <c r="K77" s="165">
        <f t="shared" si="1"/>
        <v>0</v>
      </c>
      <c r="L77" s="164"/>
      <c r="M77" s="162" t="s">
        <v>26</v>
      </c>
      <c r="N77" s="163">
        <f>(ACTUALS!Hourly_Rate)</f>
        <v>165</v>
      </c>
    </row>
    <row r="78" ht="13.5" customHeight="1">
      <c r="A78" s="2" t="s">
        <v>126</v>
      </c>
      <c r="B78" s="160"/>
      <c r="C78" s="160"/>
      <c r="D78" s="162"/>
      <c r="E78" s="162"/>
      <c r="F78" s="162"/>
      <c r="G78" s="162"/>
      <c r="H78" s="162"/>
      <c r="I78" s="162"/>
      <c r="J78" s="162"/>
      <c r="K78" s="165">
        <f t="shared" si="1"/>
        <v>0</v>
      </c>
      <c r="L78" s="164"/>
      <c r="M78" s="162" t="s">
        <v>26</v>
      </c>
      <c r="N78" s="163">
        <f>(ACTUALS!Hourly_Rate)</f>
        <v>165</v>
      </c>
    </row>
    <row r="79" ht="13.5" customHeight="1">
      <c r="A79" s="2" t="s">
        <v>126</v>
      </c>
      <c r="B79" s="160"/>
      <c r="C79" s="160"/>
      <c r="D79" s="162"/>
      <c r="E79" s="162"/>
      <c r="F79" s="162"/>
      <c r="G79" s="162"/>
      <c r="H79" s="162"/>
      <c r="I79" s="162"/>
      <c r="J79" s="162"/>
      <c r="K79" s="165">
        <f t="shared" si="1"/>
        <v>0</v>
      </c>
      <c r="L79" s="164"/>
      <c r="M79" s="162" t="s">
        <v>26</v>
      </c>
      <c r="N79" s="163">
        <f>(ACTUALS!Hourly_Rate)</f>
        <v>165</v>
      </c>
    </row>
    <row r="80" ht="13.5" customHeight="1">
      <c r="A80" s="2" t="s">
        <v>126</v>
      </c>
      <c r="B80" s="160"/>
      <c r="C80" s="160"/>
      <c r="D80" s="162"/>
      <c r="E80" s="162"/>
      <c r="F80" s="162"/>
      <c r="G80" s="162"/>
      <c r="H80" s="162"/>
      <c r="I80" s="162"/>
      <c r="J80" s="162"/>
      <c r="K80" s="165">
        <f t="shared" si="1"/>
        <v>0</v>
      </c>
      <c r="L80" s="164"/>
      <c r="M80" s="162" t="s">
        <v>26</v>
      </c>
      <c r="N80" s="163">
        <f>(ACTUALS!Hourly_Rate)</f>
        <v>165</v>
      </c>
    </row>
    <row r="81" ht="13.5" customHeight="1">
      <c r="A81" s="2" t="s">
        <v>126</v>
      </c>
      <c r="B81" s="160"/>
      <c r="C81" s="160"/>
      <c r="D81" s="162"/>
      <c r="E81" s="162"/>
      <c r="F81" s="162"/>
      <c r="G81" s="162"/>
      <c r="H81" s="162"/>
      <c r="I81" s="162"/>
      <c r="J81" s="162"/>
      <c r="K81" s="165">
        <f t="shared" si="1"/>
        <v>0</v>
      </c>
      <c r="L81" s="164"/>
      <c r="M81" s="162" t="s">
        <v>26</v>
      </c>
      <c r="N81" s="163">
        <f>(ACTUALS!Hourly_Rate)</f>
        <v>165</v>
      </c>
    </row>
    <row r="82" ht="13.5" customHeight="1">
      <c r="A82" s="2" t="s">
        <v>126</v>
      </c>
      <c r="B82" s="160"/>
      <c r="C82" s="160"/>
      <c r="D82" s="162"/>
      <c r="E82" s="162"/>
      <c r="F82" s="162"/>
      <c r="G82" s="162"/>
      <c r="H82" s="162"/>
      <c r="I82" s="162"/>
      <c r="J82" s="162"/>
      <c r="K82" s="165">
        <f t="shared" si="1"/>
        <v>0</v>
      </c>
      <c r="L82" s="164"/>
      <c r="M82" s="162" t="s">
        <v>26</v>
      </c>
      <c r="N82" s="163">
        <f>(ACTUALS!Hourly_Rate)</f>
        <v>165</v>
      </c>
    </row>
    <row r="83" ht="13.5" customHeight="1">
      <c r="A83" s="2" t="s">
        <v>126</v>
      </c>
      <c r="B83" s="160"/>
      <c r="C83" s="160"/>
      <c r="D83" s="162"/>
      <c r="E83" s="162"/>
      <c r="F83" s="162"/>
      <c r="G83" s="162"/>
      <c r="H83" s="162"/>
      <c r="I83" s="162"/>
      <c r="J83" s="162"/>
      <c r="K83" s="165">
        <f t="shared" si="1"/>
        <v>0</v>
      </c>
      <c r="L83" s="164"/>
      <c r="M83" s="162" t="s">
        <v>26</v>
      </c>
      <c r="N83" s="163">
        <f>(ACTUALS!Hourly_Rate)</f>
        <v>165</v>
      </c>
    </row>
    <row r="84" ht="13.5" customHeight="1">
      <c r="A84" s="2" t="s">
        <v>126</v>
      </c>
      <c r="B84" s="160"/>
      <c r="C84" s="160"/>
      <c r="D84" s="162"/>
      <c r="E84" s="162"/>
      <c r="F84" s="162"/>
      <c r="G84" s="162"/>
      <c r="H84" s="162"/>
      <c r="I84" s="162"/>
      <c r="J84" s="162"/>
      <c r="K84" s="165">
        <f t="shared" si="1"/>
        <v>0</v>
      </c>
      <c r="L84" s="164"/>
      <c r="M84" s="162" t="s">
        <v>26</v>
      </c>
      <c r="N84" s="163">
        <f>(ACTUALS!Hourly_Rate)</f>
        <v>165</v>
      </c>
    </row>
    <row r="85" ht="13.5" customHeight="1">
      <c r="A85" s="2" t="s">
        <v>126</v>
      </c>
      <c r="B85" s="160"/>
      <c r="C85" s="160"/>
      <c r="D85" s="162"/>
      <c r="E85" s="162"/>
      <c r="F85" s="162"/>
      <c r="G85" s="162"/>
      <c r="H85" s="162"/>
      <c r="I85" s="162"/>
      <c r="J85" s="162"/>
      <c r="K85" s="165">
        <f t="shared" si="1"/>
        <v>0</v>
      </c>
      <c r="L85" s="164"/>
      <c r="M85" s="162" t="s">
        <v>26</v>
      </c>
      <c r="N85" s="163">
        <f>(ACTUALS!Hourly_Rate)</f>
        <v>165</v>
      </c>
    </row>
    <row r="86" ht="13.5" customHeight="1">
      <c r="A86" s="2" t="s">
        <v>126</v>
      </c>
      <c r="B86" s="160"/>
      <c r="C86" s="160"/>
      <c r="D86" s="162"/>
      <c r="E86" s="162"/>
      <c r="F86" s="162"/>
      <c r="G86" s="162"/>
      <c r="H86" s="162"/>
      <c r="I86" s="162"/>
      <c r="J86" s="162"/>
      <c r="K86" s="165">
        <f t="shared" si="1"/>
        <v>0</v>
      </c>
      <c r="L86" s="164"/>
      <c r="M86" s="162" t="s">
        <v>26</v>
      </c>
      <c r="N86" s="163">
        <f>(ACTUALS!Hourly_Rate)</f>
        <v>165</v>
      </c>
    </row>
    <row r="87" ht="13.5" customHeight="1">
      <c r="A87" s="2" t="s">
        <v>126</v>
      </c>
      <c r="B87" s="160"/>
      <c r="C87" s="160"/>
      <c r="D87" s="162"/>
      <c r="E87" s="162"/>
      <c r="F87" s="162"/>
      <c r="G87" s="162"/>
      <c r="H87" s="162"/>
      <c r="I87" s="162"/>
      <c r="J87" s="162"/>
      <c r="K87" s="165">
        <f t="shared" si="1"/>
        <v>0</v>
      </c>
      <c r="L87" s="164"/>
      <c r="M87" s="162" t="s">
        <v>26</v>
      </c>
      <c r="N87" s="163">
        <f>(ACTUALS!Hourly_Rate)</f>
        <v>165</v>
      </c>
    </row>
    <row r="88" ht="13.5" customHeight="1">
      <c r="A88" s="2" t="s">
        <v>126</v>
      </c>
      <c r="B88" s="160"/>
      <c r="C88" s="160"/>
      <c r="D88" s="162"/>
      <c r="E88" s="162"/>
      <c r="F88" s="162"/>
      <c r="G88" s="162"/>
      <c r="H88" s="162"/>
      <c r="I88" s="162"/>
      <c r="J88" s="162"/>
      <c r="K88" s="165">
        <f t="shared" si="1"/>
        <v>0</v>
      </c>
      <c r="L88" s="164"/>
      <c r="M88" s="162" t="s">
        <v>26</v>
      </c>
      <c r="N88" s="163">
        <f>(ACTUALS!Hourly_Rate)</f>
        <v>165</v>
      </c>
    </row>
    <row r="89" ht="13.5" customHeight="1">
      <c r="A89" s="2" t="s">
        <v>126</v>
      </c>
      <c r="B89" s="160"/>
      <c r="C89" s="160"/>
      <c r="D89" s="162"/>
      <c r="E89" s="162"/>
      <c r="F89" s="162"/>
      <c r="G89" s="162"/>
      <c r="H89" s="162"/>
      <c r="I89" s="162"/>
      <c r="J89" s="162"/>
      <c r="K89" s="165">
        <f t="shared" si="1"/>
        <v>0</v>
      </c>
      <c r="L89" s="164"/>
      <c r="M89" s="162" t="s">
        <v>26</v>
      </c>
      <c r="N89" s="163">
        <f>(ACTUALS!Hourly_Rate)</f>
        <v>165</v>
      </c>
    </row>
    <row r="90" ht="13.5" customHeight="1">
      <c r="A90" s="2" t="s">
        <v>126</v>
      </c>
      <c r="B90" s="160"/>
      <c r="C90" s="160"/>
      <c r="D90" s="162"/>
      <c r="E90" s="162"/>
      <c r="F90" s="162"/>
      <c r="G90" s="162"/>
      <c r="H90" s="162"/>
      <c r="I90" s="162"/>
      <c r="J90" s="162"/>
      <c r="K90" s="165">
        <f t="shared" si="1"/>
        <v>0</v>
      </c>
      <c r="L90" s="164"/>
      <c r="M90" s="162" t="s">
        <v>26</v>
      </c>
      <c r="N90" s="163">
        <f>(ACTUALS!Hourly_Rate)</f>
        <v>165</v>
      </c>
    </row>
    <row r="91" ht="13.5" customHeight="1">
      <c r="A91" s="2" t="s">
        <v>126</v>
      </c>
      <c r="B91" s="160"/>
      <c r="C91" s="160"/>
      <c r="D91" s="162"/>
      <c r="E91" s="162"/>
      <c r="F91" s="162"/>
      <c r="G91" s="162"/>
      <c r="H91" s="162"/>
      <c r="I91" s="162"/>
      <c r="J91" s="162"/>
      <c r="K91" s="165">
        <f t="shared" si="1"/>
        <v>0</v>
      </c>
      <c r="L91" s="164"/>
      <c r="M91" s="162" t="s">
        <v>26</v>
      </c>
      <c r="N91" s="163">
        <f>(ACTUALS!Hourly_Rate)</f>
        <v>165</v>
      </c>
    </row>
    <row r="92" ht="13.5" customHeight="1">
      <c r="A92" s="2" t="s">
        <v>126</v>
      </c>
      <c r="B92" s="160"/>
      <c r="C92" s="160"/>
      <c r="D92" s="162"/>
      <c r="E92" s="162"/>
      <c r="F92" s="162"/>
      <c r="G92" s="162"/>
      <c r="H92" s="162"/>
      <c r="I92" s="162"/>
      <c r="J92" s="162"/>
      <c r="K92" s="165"/>
      <c r="L92" s="164"/>
      <c r="M92" s="162" t="s">
        <v>26</v>
      </c>
      <c r="N92" s="163">
        <f>(ACTUALS!Hourly_Rate)</f>
        <v>165</v>
      </c>
    </row>
    <row r="93" ht="13.5" customHeight="1">
      <c r="A93" s="2" t="s">
        <v>126</v>
      </c>
      <c r="B93" s="160"/>
      <c r="C93" s="160"/>
      <c r="D93" s="162"/>
      <c r="E93" s="162"/>
      <c r="F93" s="162"/>
      <c r="G93" s="162"/>
      <c r="H93" s="162"/>
      <c r="I93" s="162"/>
      <c r="J93" s="162"/>
      <c r="K93" s="165"/>
      <c r="L93" s="164"/>
      <c r="M93" s="162" t="s">
        <v>26</v>
      </c>
      <c r="N93" s="163">
        <f>(ACTUALS!Hourly_Rate)</f>
        <v>165</v>
      </c>
    </row>
    <row r="94" ht="13.5" customHeight="1">
      <c r="A94" s="2" t="s">
        <v>126</v>
      </c>
      <c r="B94" s="160"/>
      <c r="C94" s="160"/>
      <c r="D94" s="162"/>
      <c r="E94" s="162"/>
      <c r="F94" s="162"/>
      <c r="G94" s="162"/>
      <c r="H94" s="162"/>
      <c r="I94" s="162"/>
      <c r="J94" s="162"/>
      <c r="K94" s="165"/>
      <c r="L94" s="164"/>
      <c r="M94" s="162" t="s">
        <v>26</v>
      </c>
      <c r="N94" s="163">
        <f>(ACTUALS!Hourly_Rate)</f>
        <v>165</v>
      </c>
    </row>
    <row r="95" ht="13.5" customHeight="1">
      <c r="A95" s="2" t="s">
        <v>126</v>
      </c>
      <c r="B95" s="160"/>
      <c r="C95" s="160"/>
      <c r="D95" s="162"/>
      <c r="E95" s="162"/>
      <c r="F95" s="162"/>
      <c r="G95" s="162"/>
      <c r="H95" s="162"/>
      <c r="I95" s="162"/>
      <c r="J95" s="162"/>
      <c r="K95" s="165"/>
      <c r="L95" s="164"/>
      <c r="M95" s="162" t="s">
        <v>26</v>
      </c>
      <c r="N95" s="163">
        <f>(ACTUALS!Hourly_Rate)</f>
        <v>165</v>
      </c>
    </row>
    <row r="96" ht="15.75" customHeight="1">
      <c r="L96" s="164"/>
      <c r="N96" s="151"/>
    </row>
    <row r="97" ht="15.75" customHeight="1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7">
        <f>SUM(K2:K96)</f>
        <v>177.5</v>
      </c>
      <c r="L97" s="168"/>
      <c r="M97" s="168"/>
      <c r="N97" s="168"/>
    </row>
    <row r="98" ht="15.75" customHeight="1">
      <c r="L98" s="164"/>
      <c r="N98" s="151"/>
    </row>
    <row r="99" ht="15.75" customHeight="1">
      <c r="L99" s="164"/>
      <c r="N99" s="151"/>
    </row>
    <row r="100" ht="15.75" customHeight="1">
      <c r="A100" s="160"/>
      <c r="G100" s="160"/>
      <c r="Q100" s="169"/>
      <c r="T100" s="169"/>
      <c r="V100" s="169"/>
      <c r="Y100" s="169"/>
      <c r="Z100" s="169"/>
      <c r="AB100" s="169"/>
      <c r="AD100" s="169"/>
    </row>
    <row r="101" ht="15.75" customHeight="1">
      <c r="A101" s="160"/>
      <c r="G101" s="160"/>
      <c r="Q101" s="169"/>
      <c r="T101" s="169"/>
      <c r="V101" s="169"/>
      <c r="Y101" s="169"/>
      <c r="Z101" s="169"/>
      <c r="AB101" s="169"/>
      <c r="AD101" s="169"/>
    </row>
    <row r="102" ht="15.75" customHeight="1">
      <c r="A102" s="160"/>
      <c r="G102" s="160"/>
      <c r="Q102" s="169"/>
      <c r="T102" s="169"/>
      <c r="V102" s="169"/>
      <c r="Y102" s="169"/>
      <c r="Z102" s="169"/>
      <c r="AB102" s="169"/>
      <c r="AD102" s="169"/>
    </row>
    <row r="103" ht="15.75" customHeight="1">
      <c r="A103" s="160"/>
      <c r="G103" s="160"/>
      <c r="Q103" s="169"/>
      <c r="T103" s="169"/>
      <c r="V103" s="169"/>
      <c r="Y103" s="169"/>
      <c r="Z103" s="169"/>
      <c r="AB103" s="169"/>
      <c r="AD103" s="169"/>
    </row>
    <row r="104" ht="15.75" customHeight="1">
      <c r="A104" s="160"/>
      <c r="G104" s="160"/>
      <c r="Q104" s="169"/>
      <c r="T104" s="169"/>
      <c r="V104" s="169"/>
      <c r="Y104" s="169"/>
      <c r="Z104" s="169"/>
      <c r="AB104" s="169"/>
      <c r="AD104" s="169"/>
    </row>
    <row r="105" ht="15.75" customHeight="1">
      <c r="A105" s="160"/>
      <c r="G105" s="160"/>
      <c r="Q105" s="169"/>
      <c r="T105" s="169"/>
      <c r="V105" s="169"/>
      <c r="Y105" s="169"/>
      <c r="Z105" s="169"/>
      <c r="AB105" s="169"/>
      <c r="AD105" s="169"/>
    </row>
    <row r="106" ht="15.75" customHeight="1">
      <c r="A106" s="160"/>
      <c r="G106" s="160"/>
      <c r="Q106" s="169"/>
      <c r="T106" s="169"/>
      <c r="V106" s="169"/>
      <c r="Y106" s="169"/>
      <c r="Z106" s="169"/>
      <c r="AB106" s="169"/>
      <c r="AD106" s="169"/>
    </row>
    <row r="107" ht="15.75" customHeight="1">
      <c r="L107" s="164"/>
      <c r="N107" s="151"/>
    </row>
    <row r="108" ht="15.75" customHeight="1">
      <c r="L108" s="164"/>
      <c r="N108" s="151"/>
    </row>
    <row r="109" ht="15.75" customHeight="1">
      <c r="L109" s="164"/>
      <c r="N109" s="151"/>
    </row>
    <row r="110" ht="15.75" customHeight="1">
      <c r="L110" s="164"/>
      <c r="N110" s="151"/>
    </row>
    <row r="111" ht="15.75" customHeight="1">
      <c r="L111" s="164"/>
      <c r="N111" s="151"/>
    </row>
    <row r="112" ht="15.75" customHeight="1">
      <c r="L112" s="164"/>
      <c r="N112" s="151"/>
    </row>
    <row r="113" ht="15.75" customHeight="1">
      <c r="L113" s="164"/>
      <c r="N113" s="151"/>
    </row>
    <row r="114" ht="15.75" customHeight="1">
      <c r="L114" s="164"/>
      <c r="N114" s="151"/>
    </row>
    <row r="115" ht="15.75" customHeight="1">
      <c r="L115" s="164"/>
      <c r="N115" s="151"/>
    </row>
    <row r="116" ht="15.75" customHeight="1">
      <c r="L116" s="164"/>
      <c r="N116" s="151"/>
    </row>
    <row r="117" ht="15.75" customHeight="1">
      <c r="L117" s="164"/>
      <c r="N117" s="151"/>
    </row>
    <row r="118" ht="15.75" customHeight="1">
      <c r="L118" s="164"/>
      <c r="N118" s="151"/>
    </row>
    <row r="119" ht="15.75" customHeight="1">
      <c r="L119" s="164"/>
      <c r="N119" s="151"/>
    </row>
    <row r="120" ht="15.75" customHeight="1">
      <c r="L120" s="164"/>
      <c r="N120" s="151"/>
    </row>
    <row r="121" ht="15.75" customHeight="1">
      <c r="L121" s="164"/>
      <c r="N121" s="151"/>
    </row>
    <row r="122" ht="15.75" customHeight="1">
      <c r="L122" s="164"/>
      <c r="N122" s="151"/>
    </row>
    <row r="123" ht="15.75" customHeight="1">
      <c r="L123" s="164"/>
      <c r="N123" s="151"/>
    </row>
    <row r="124" ht="15.75" customHeight="1">
      <c r="L124" s="164"/>
      <c r="N124" s="151"/>
    </row>
    <row r="125" ht="15.75" customHeight="1">
      <c r="L125" s="164"/>
      <c r="N125" s="151"/>
    </row>
    <row r="126" ht="15.75" customHeight="1">
      <c r="L126" s="164"/>
      <c r="N126" s="151"/>
    </row>
    <row r="127" ht="15.75" customHeight="1">
      <c r="L127" s="164"/>
      <c r="N127" s="151"/>
    </row>
    <row r="128" ht="15.75" customHeight="1">
      <c r="L128" s="164"/>
      <c r="N128" s="151"/>
    </row>
    <row r="129" ht="15.75" customHeight="1">
      <c r="L129" s="164"/>
      <c r="N129" s="151"/>
    </row>
    <row r="130" ht="15.75" customHeight="1">
      <c r="L130" s="164"/>
      <c r="N130" s="151"/>
    </row>
    <row r="131" ht="15.75" customHeight="1">
      <c r="L131" s="164"/>
      <c r="N131" s="151"/>
    </row>
    <row r="132" ht="15.75" customHeight="1">
      <c r="L132" s="164"/>
      <c r="N132" s="151"/>
    </row>
    <row r="133" ht="15.75" customHeight="1">
      <c r="L133" s="164"/>
      <c r="N133" s="151"/>
    </row>
    <row r="134" ht="15.75" customHeight="1">
      <c r="L134" s="164"/>
      <c r="N134" s="151"/>
    </row>
    <row r="135" ht="15.75" customHeight="1">
      <c r="L135" s="164"/>
      <c r="N135" s="151"/>
    </row>
    <row r="136" ht="15.75" customHeight="1">
      <c r="L136" s="164"/>
      <c r="N136" s="151"/>
    </row>
    <row r="137" ht="15.75" customHeight="1">
      <c r="L137" s="164"/>
      <c r="N137" s="151"/>
    </row>
    <row r="138" ht="15.75" customHeight="1">
      <c r="L138" s="164"/>
      <c r="N138" s="151"/>
    </row>
    <row r="139" ht="15.75" customHeight="1">
      <c r="L139" s="164"/>
      <c r="N139" s="151"/>
    </row>
    <row r="140" ht="15.75" customHeight="1">
      <c r="L140" s="164"/>
      <c r="N140" s="151"/>
    </row>
    <row r="141" ht="15.75" customHeight="1">
      <c r="L141" s="164"/>
      <c r="N141" s="151"/>
    </row>
    <row r="142" ht="15.75" customHeight="1">
      <c r="L142" s="164"/>
      <c r="N142" s="151"/>
    </row>
    <row r="143" ht="15.75" customHeight="1">
      <c r="L143" s="164"/>
      <c r="N143" s="151"/>
    </row>
    <row r="144" ht="15.75" customHeight="1">
      <c r="L144" s="164"/>
      <c r="N144" s="151"/>
    </row>
    <row r="145" ht="15.75" customHeight="1">
      <c r="L145" s="164"/>
      <c r="N145" s="151"/>
    </row>
    <row r="146" ht="15.75" customHeight="1">
      <c r="L146" s="164"/>
      <c r="N146" s="151"/>
    </row>
    <row r="147" ht="15.75" customHeight="1">
      <c r="L147" s="164"/>
      <c r="N147" s="151"/>
    </row>
    <row r="148" ht="15.75" customHeight="1">
      <c r="L148" s="164"/>
      <c r="N148" s="151"/>
    </row>
    <row r="149" ht="15.75" customHeight="1">
      <c r="L149" s="164"/>
      <c r="N149" s="151"/>
    </row>
    <row r="150" ht="15.75" customHeight="1">
      <c r="L150" s="164"/>
      <c r="N150" s="151"/>
    </row>
    <row r="151" ht="15.75" customHeight="1">
      <c r="L151" s="164"/>
      <c r="N151" s="151"/>
    </row>
    <row r="152" ht="15.75" customHeight="1">
      <c r="L152" s="164"/>
      <c r="N152" s="151"/>
    </row>
    <row r="153" ht="15.75" customHeight="1">
      <c r="L153" s="164"/>
      <c r="N153" s="151"/>
    </row>
    <row r="154" ht="15.75" customHeight="1">
      <c r="L154" s="164"/>
      <c r="N154" s="151"/>
    </row>
    <row r="155" ht="15.75" customHeight="1">
      <c r="L155" s="164"/>
      <c r="N155" s="151"/>
    </row>
    <row r="156" ht="15.75" customHeight="1">
      <c r="L156" s="164"/>
      <c r="N156" s="151"/>
    </row>
    <row r="157" ht="15.75" customHeight="1">
      <c r="L157" s="164"/>
      <c r="N157" s="151"/>
    </row>
    <row r="158" ht="15.75" customHeight="1">
      <c r="L158" s="164"/>
      <c r="N158" s="151"/>
    </row>
    <row r="159" ht="15.75" customHeight="1">
      <c r="L159" s="164"/>
      <c r="N159" s="151"/>
    </row>
    <row r="160" ht="15.75" customHeight="1">
      <c r="L160" s="164"/>
      <c r="N160" s="151"/>
    </row>
    <row r="161" ht="15.75" customHeight="1">
      <c r="L161" s="164"/>
      <c r="N161" s="151"/>
    </row>
    <row r="162" ht="15.75" customHeight="1">
      <c r="L162" s="164"/>
      <c r="N162" s="151"/>
    </row>
    <row r="163" ht="15.75" customHeight="1">
      <c r="L163" s="164"/>
      <c r="N163" s="151"/>
    </row>
    <row r="164" ht="15.75" customHeight="1">
      <c r="L164" s="164"/>
      <c r="N164" s="151"/>
    </row>
    <row r="165" ht="15.75" customHeight="1">
      <c r="L165" s="164"/>
      <c r="N165" s="151"/>
    </row>
    <row r="166" ht="15.75" customHeight="1">
      <c r="L166" s="164"/>
      <c r="N166" s="151"/>
    </row>
    <row r="167" ht="15.75" customHeight="1">
      <c r="L167" s="164"/>
      <c r="N167" s="151"/>
    </row>
    <row r="168" ht="15.75" customHeight="1">
      <c r="L168" s="164"/>
      <c r="N168" s="151"/>
    </row>
    <row r="169" ht="15.75" customHeight="1">
      <c r="L169" s="164"/>
      <c r="N169" s="151"/>
    </row>
    <row r="170" ht="15.75" customHeight="1">
      <c r="L170" s="164"/>
      <c r="N170" s="151"/>
    </row>
    <row r="171" ht="15.75" customHeight="1">
      <c r="L171" s="164"/>
      <c r="N171" s="151"/>
    </row>
    <row r="172" ht="15.75" customHeight="1">
      <c r="L172" s="164"/>
      <c r="N172" s="151"/>
    </row>
    <row r="173" ht="15.75" customHeight="1">
      <c r="L173" s="164"/>
      <c r="N173" s="151"/>
    </row>
    <row r="174" ht="15.75" customHeight="1">
      <c r="L174" s="164"/>
      <c r="N174" s="151"/>
    </row>
    <row r="175" ht="15.75" customHeight="1">
      <c r="L175" s="164"/>
      <c r="N175" s="151"/>
    </row>
    <row r="176" ht="15.75" customHeight="1">
      <c r="L176" s="164"/>
      <c r="N176" s="151"/>
    </row>
    <row r="177" ht="15.75" customHeight="1">
      <c r="L177" s="164"/>
      <c r="N177" s="151"/>
    </row>
    <row r="178" ht="15.75" customHeight="1">
      <c r="L178" s="164"/>
      <c r="N178" s="151"/>
    </row>
    <row r="179" ht="15.75" customHeight="1">
      <c r="L179" s="164"/>
      <c r="N179" s="151"/>
    </row>
    <row r="180" ht="15.75" customHeight="1">
      <c r="L180" s="164"/>
      <c r="N180" s="151"/>
    </row>
    <row r="181" ht="15.75" customHeight="1">
      <c r="L181" s="164"/>
      <c r="N181" s="151"/>
    </row>
    <row r="182" ht="15.75" customHeight="1">
      <c r="L182" s="164"/>
      <c r="N182" s="151"/>
    </row>
    <row r="183" ht="15.75" customHeight="1">
      <c r="L183" s="164"/>
      <c r="N183" s="151"/>
    </row>
    <row r="184" ht="15.75" customHeight="1">
      <c r="L184" s="164"/>
      <c r="N184" s="151"/>
    </row>
    <row r="185" ht="15.75" customHeight="1">
      <c r="L185" s="164"/>
      <c r="N185" s="151"/>
    </row>
    <row r="186" ht="15.75" customHeight="1">
      <c r="L186" s="164"/>
      <c r="N186" s="151"/>
    </row>
    <row r="187" ht="15.75" customHeight="1">
      <c r="L187" s="164"/>
      <c r="N187" s="151"/>
    </row>
    <row r="188" ht="15.75" customHeight="1">
      <c r="L188" s="164"/>
      <c r="N188" s="151"/>
    </row>
    <row r="189" ht="15.75" customHeight="1">
      <c r="L189" s="164"/>
      <c r="N189" s="151"/>
    </row>
    <row r="190" ht="15.75" customHeight="1">
      <c r="L190" s="164"/>
      <c r="N190" s="151"/>
    </row>
    <row r="191" ht="15.75" customHeight="1">
      <c r="L191" s="164"/>
      <c r="N191" s="151"/>
    </row>
    <row r="192" ht="15.75" customHeight="1">
      <c r="L192" s="164"/>
      <c r="N192" s="151"/>
    </row>
    <row r="193" ht="15.75" customHeight="1">
      <c r="L193" s="164"/>
      <c r="N193" s="151"/>
    </row>
    <row r="194" ht="15.75" customHeight="1">
      <c r="L194" s="164"/>
      <c r="N194" s="151"/>
    </row>
    <row r="195" ht="15.75" customHeight="1">
      <c r="L195" s="164"/>
      <c r="N195" s="151"/>
    </row>
    <row r="196" ht="15.75" customHeight="1">
      <c r="L196" s="164"/>
      <c r="N196" s="151"/>
    </row>
    <row r="197" ht="15.75" customHeight="1">
      <c r="L197" s="164"/>
      <c r="N197" s="151"/>
    </row>
    <row r="198" ht="15.75" customHeight="1">
      <c r="L198" s="164"/>
      <c r="N198" s="151"/>
    </row>
    <row r="199" ht="15.75" customHeight="1">
      <c r="L199" s="164"/>
      <c r="N199" s="151"/>
    </row>
    <row r="200" ht="15.75" customHeight="1">
      <c r="L200" s="164"/>
      <c r="N200" s="151"/>
    </row>
    <row r="201" ht="15.75" customHeight="1">
      <c r="L201" s="164"/>
      <c r="N201" s="151"/>
    </row>
    <row r="202" ht="15.75" customHeight="1">
      <c r="L202" s="164"/>
      <c r="N202" s="151"/>
    </row>
    <row r="203" ht="15.75" customHeight="1">
      <c r="L203" s="164"/>
      <c r="N203" s="151"/>
    </row>
    <row r="204" ht="15.75" customHeight="1">
      <c r="L204" s="164"/>
      <c r="N204" s="151"/>
    </row>
    <row r="205" ht="15.75" customHeight="1">
      <c r="L205" s="164"/>
      <c r="N205" s="151"/>
    </row>
    <row r="206" ht="15.75" customHeight="1">
      <c r="L206" s="164"/>
      <c r="N206" s="151"/>
    </row>
    <row r="207" ht="15.75" customHeight="1">
      <c r="L207" s="164"/>
      <c r="N207" s="151"/>
    </row>
    <row r="208" ht="15.75" customHeight="1">
      <c r="L208" s="164"/>
      <c r="N208" s="151"/>
    </row>
    <row r="209" ht="15.75" customHeight="1">
      <c r="L209" s="164"/>
      <c r="N209" s="151"/>
    </row>
    <row r="210" ht="15.75" customHeight="1">
      <c r="L210" s="164"/>
      <c r="N210" s="151"/>
    </row>
    <row r="211" ht="15.75" customHeight="1">
      <c r="L211" s="164"/>
      <c r="N211" s="151"/>
    </row>
    <row r="212" ht="15.75" customHeight="1">
      <c r="L212" s="164"/>
      <c r="N212" s="151"/>
    </row>
    <row r="213" ht="15.75" customHeight="1">
      <c r="L213" s="164"/>
      <c r="N213" s="151"/>
    </row>
    <row r="214" ht="15.75" customHeight="1">
      <c r="L214" s="164"/>
      <c r="N214" s="151"/>
    </row>
    <row r="215" ht="15.75" customHeight="1">
      <c r="L215" s="164"/>
      <c r="N215" s="151"/>
    </row>
    <row r="216" ht="15.75" customHeight="1">
      <c r="L216" s="164"/>
      <c r="N216" s="151"/>
    </row>
    <row r="217" ht="15.75" customHeight="1">
      <c r="L217" s="164"/>
      <c r="N217" s="151"/>
    </row>
    <row r="218" ht="15.75" customHeight="1">
      <c r="L218" s="164"/>
      <c r="N218" s="151"/>
    </row>
    <row r="219" ht="15.75" customHeight="1">
      <c r="L219" s="164"/>
      <c r="N219" s="151"/>
    </row>
    <row r="220" ht="15.75" customHeight="1">
      <c r="L220" s="164"/>
      <c r="N220" s="151"/>
    </row>
    <row r="221" ht="15.75" customHeight="1">
      <c r="L221" s="164"/>
      <c r="N221" s="151"/>
    </row>
    <row r="222" ht="15.75" customHeight="1">
      <c r="L222" s="164"/>
      <c r="N222" s="151"/>
    </row>
    <row r="223" ht="15.75" customHeight="1">
      <c r="L223" s="164"/>
      <c r="N223" s="151"/>
    </row>
    <row r="224" ht="15.75" customHeight="1">
      <c r="L224" s="164"/>
      <c r="N224" s="151"/>
    </row>
    <row r="225" ht="15.75" customHeight="1">
      <c r="L225" s="164"/>
      <c r="N225" s="151"/>
    </row>
    <row r="226" ht="15.75" customHeight="1">
      <c r="L226" s="164"/>
      <c r="N226" s="151"/>
    </row>
    <row r="227" ht="15.75" customHeight="1">
      <c r="L227" s="164"/>
      <c r="N227" s="151"/>
    </row>
    <row r="228" ht="15.75" customHeight="1">
      <c r="L228" s="164"/>
      <c r="N228" s="151"/>
    </row>
    <row r="229" ht="15.75" customHeight="1">
      <c r="L229" s="164"/>
      <c r="N229" s="151"/>
    </row>
    <row r="230" ht="15.75" customHeight="1">
      <c r="L230" s="164"/>
      <c r="N230" s="151"/>
    </row>
    <row r="231" ht="15.75" customHeight="1">
      <c r="L231" s="164"/>
      <c r="N231" s="151"/>
    </row>
    <row r="232" ht="15.75" customHeight="1">
      <c r="L232" s="164"/>
      <c r="N232" s="151"/>
    </row>
    <row r="233" ht="15.75" customHeight="1">
      <c r="L233" s="164"/>
      <c r="N233" s="151"/>
    </row>
    <row r="234" ht="15.75" customHeight="1">
      <c r="L234" s="164"/>
      <c r="N234" s="151"/>
    </row>
    <row r="235" ht="15.75" customHeight="1">
      <c r="L235" s="164"/>
      <c r="N235" s="151"/>
    </row>
    <row r="236" ht="15.75" customHeight="1">
      <c r="L236" s="164"/>
      <c r="N236" s="151"/>
    </row>
    <row r="237" ht="15.75" customHeight="1">
      <c r="L237" s="164"/>
      <c r="N237" s="151"/>
    </row>
    <row r="238" ht="15.75" customHeight="1">
      <c r="L238" s="164"/>
      <c r="N238" s="151"/>
    </row>
    <row r="239" ht="15.75" customHeight="1">
      <c r="L239" s="164"/>
      <c r="N239" s="151"/>
    </row>
    <row r="240" ht="15.75" customHeight="1">
      <c r="L240" s="164"/>
      <c r="N240" s="151"/>
    </row>
    <row r="241" ht="15.75" customHeight="1">
      <c r="L241" s="164"/>
      <c r="N241" s="151"/>
    </row>
    <row r="242" ht="15.75" customHeight="1">
      <c r="L242" s="164"/>
      <c r="N242" s="151"/>
    </row>
    <row r="243" ht="15.75" customHeight="1">
      <c r="L243" s="164"/>
      <c r="N243" s="151"/>
    </row>
    <row r="244" ht="15.75" customHeight="1">
      <c r="L244" s="164"/>
      <c r="N244" s="151"/>
    </row>
    <row r="245" ht="15.75" customHeight="1">
      <c r="L245" s="164"/>
      <c r="N245" s="151"/>
    </row>
    <row r="246" ht="15.75" customHeight="1">
      <c r="L246" s="164"/>
      <c r="N246" s="151"/>
    </row>
    <row r="247" ht="15.75" customHeight="1">
      <c r="L247" s="164"/>
      <c r="N247" s="151"/>
    </row>
    <row r="248" ht="15.75" customHeight="1">
      <c r="L248" s="164"/>
      <c r="N248" s="151"/>
    </row>
    <row r="249" ht="15.75" customHeight="1">
      <c r="L249" s="164"/>
      <c r="N249" s="151"/>
    </row>
    <row r="250" ht="15.75" customHeight="1">
      <c r="L250" s="164"/>
      <c r="N250" s="151"/>
    </row>
    <row r="251" ht="15.75" customHeight="1">
      <c r="L251" s="164"/>
      <c r="N251" s="151"/>
    </row>
    <row r="252" ht="15.75" customHeight="1">
      <c r="L252" s="164"/>
      <c r="N252" s="151"/>
    </row>
    <row r="253" ht="15.75" customHeight="1">
      <c r="L253" s="164"/>
      <c r="N253" s="151"/>
    </row>
    <row r="254" ht="15.75" customHeight="1">
      <c r="L254" s="164"/>
      <c r="N254" s="151"/>
    </row>
    <row r="255" ht="15.75" customHeight="1">
      <c r="L255" s="164"/>
      <c r="N255" s="151"/>
    </row>
    <row r="256" ht="15.75" customHeight="1">
      <c r="L256" s="164"/>
      <c r="N256" s="151"/>
    </row>
    <row r="257" ht="15.75" customHeight="1">
      <c r="L257" s="164"/>
      <c r="N257" s="151"/>
    </row>
    <row r="258" ht="15.75" customHeight="1">
      <c r="L258" s="164"/>
      <c r="N258" s="151"/>
    </row>
    <row r="259" ht="15.75" customHeight="1">
      <c r="L259" s="164"/>
      <c r="N259" s="151"/>
    </row>
    <row r="260" ht="15.75" customHeight="1">
      <c r="L260" s="164"/>
      <c r="N260" s="151"/>
    </row>
    <row r="261" ht="15.75" customHeight="1">
      <c r="L261" s="164"/>
      <c r="N261" s="151"/>
    </row>
    <row r="262" ht="15.75" customHeight="1">
      <c r="L262" s="164"/>
      <c r="N262" s="151"/>
    </row>
    <row r="263" ht="15.75" customHeight="1">
      <c r="L263" s="164"/>
      <c r="N263" s="151"/>
    </row>
    <row r="264" ht="15.75" customHeight="1">
      <c r="L264" s="164"/>
      <c r="N264" s="151"/>
    </row>
    <row r="265" ht="15.75" customHeight="1">
      <c r="L265" s="164"/>
      <c r="N265" s="151"/>
    </row>
    <row r="266" ht="15.75" customHeight="1">
      <c r="L266" s="164"/>
      <c r="N266" s="151"/>
    </row>
    <row r="267" ht="15.75" customHeight="1">
      <c r="L267" s="164"/>
      <c r="N267" s="151"/>
    </row>
    <row r="268" ht="15.75" customHeight="1">
      <c r="L268" s="164"/>
      <c r="N268" s="151"/>
    </row>
    <row r="269" ht="15.75" customHeight="1">
      <c r="L269" s="164"/>
      <c r="N269" s="151"/>
    </row>
    <row r="270" ht="15.75" customHeight="1">
      <c r="L270" s="164"/>
      <c r="N270" s="151"/>
    </row>
    <row r="271" ht="15.75" customHeight="1">
      <c r="L271" s="164"/>
      <c r="N271" s="151"/>
    </row>
    <row r="272" ht="15.75" customHeight="1">
      <c r="L272" s="164"/>
      <c r="N272" s="151"/>
    </row>
    <row r="273" ht="15.75" customHeight="1">
      <c r="L273" s="164"/>
      <c r="N273" s="151"/>
    </row>
    <row r="274" ht="15.75" customHeight="1">
      <c r="L274" s="164"/>
      <c r="N274" s="151"/>
    </row>
    <row r="275" ht="15.75" customHeight="1">
      <c r="L275" s="164"/>
      <c r="N275" s="151"/>
    </row>
    <row r="276" ht="15.75" customHeight="1">
      <c r="L276" s="164"/>
      <c r="N276" s="151"/>
    </row>
    <row r="277" ht="15.75" customHeight="1">
      <c r="L277" s="164"/>
      <c r="N277" s="151"/>
    </row>
    <row r="278" ht="15.75" customHeight="1">
      <c r="L278" s="164"/>
      <c r="N278" s="151"/>
    </row>
    <row r="279" ht="15.75" customHeight="1">
      <c r="L279" s="164"/>
      <c r="N279" s="151"/>
    </row>
    <row r="280" ht="15.75" customHeight="1">
      <c r="L280" s="164"/>
      <c r="N280" s="151"/>
    </row>
    <row r="281" ht="15.75" customHeight="1">
      <c r="L281" s="164"/>
      <c r="N281" s="151"/>
    </row>
    <row r="282" ht="15.75" customHeight="1">
      <c r="L282" s="164"/>
      <c r="N282" s="151"/>
    </row>
    <row r="283" ht="15.75" customHeight="1">
      <c r="L283" s="164"/>
      <c r="N283" s="151"/>
    </row>
    <row r="284" ht="15.75" customHeight="1">
      <c r="L284" s="164"/>
      <c r="N284" s="151"/>
    </row>
    <row r="285" ht="15.75" customHeight="1">
      <c r="L285" s="164"/>
      <c r="N285" s="151"/>
    </row>
    <row r="286" ht="15.75" customHeight="1">
      <c r="L286" s="164"/>
      <c r="N286" s="151"/>
    </row>
    <row r="287" ht="15.75" customHeight="1">
      <c r="L287" s="164"/>
      <c r="N287" s="151"/>
    </row>
    <row r="288" ht="15.75" customHeight="1">
      <c r="L288" s="164"/>
      <c r="N288" s="151"/>
    </row>
    <row r="289" ht="15.75" customHeight="1">
      <c r="L289" s="164"/>
      <c r="N289" s="151"/>
    </row>
    <row r="290" ht="15.75" customHeight="1">
      <c r="L290" s="164"/>
      <c r="N290" s="151"/>
    </row>
    <row r="291" ht="15.75" customHeight="1">
      <c r="L291" s="164"/>
      <c r="N291" s="151"/>
    </row>
    <row r="292" ht="15.75" customHeight="1">
      <c r="L292" s="164"/>
      <c r="N292" s="151"/>
    </row>
    <row r="293" ht="15.75" customHeight="1">
      <c r="L293" s="164"/>
      <c r="N293" s="151"/>
    </row>
    <row r="294" ht="15.75" customHeight="1">
      <c r="L294" s="164"/>
      <c r="N294" s="151"/>
    </row>
    <row r="295" ht="15.75" customHeight="1">
      <c r="L295" s="164"/>
      <c r="N295" s="151"/>
    </row>
    <row r="296" ht="15.75" customHeight="1">
      <c r="L296" s="164"/>
      <c r="N296" s="151"/>
    </row>
    <row r="297" ht="15.75" customHeight="1">
      <c r="L297" s="164"/>
      <c r="N297" s="151"/>
    </row>
    <row r="298" ht="15.75" customHeight="1">
      <c r="L298" s="164"/>
      <c r="N298" s="151"/>
    </row>
    <row r="299" ht="15.75" customHeight="1">
      <c r="L299" s="164"/>
      <c r="N299" s="151"/>
    </row>
    <row r="300" ht="15.75" customHeight="1">
      <c r="L300" s="164"/>
      <c r="N300" s="151"/>
    </row>
    <row r="301" ht="15.75" customHeight="1">
      <c r="L301" s="164"/>
      <c r="N301" s="151"/>
    </row>
    <row r="302" ht="15.75" customHeight="1">
      <c r="L302" s="164"/>
      <c r="N302" s="151"/>
    </row>
    <row r="303" ht="15.75" customHeight="1">
      <c r="L303" s="164"/>
      <c r="N303" s="151"/>
    </row>
    <row r="304" ht="15.75" customHeight="1">
      <c r="L304" s="164"/>
      <c r="N304" s="151"/>
    </row>
    <row r="305" ht="15.75" customHeight="1">
      <c r="L305" s="164"/>
      <c r="N305" s="151"/>
    </row>
    <row r="306" ht="15.75" customHeight="1">
      <c r="L306" s="164"/>
      <c r="N306" s="151"/>
    </row>
    <row r="307" ht="15.75" customHeight="1">
      <c r="L307" s="164"/>
      <c r="N307" s="151"/>
    </row>
    <row r="308" ht="15.75" customHeight="1">
      <c r="L308" s="164"/>
      <c r="N308" s="151"/>
    </row>
    <row r="309" ht="15.75" customHeight="1">
      <c r="L309" s="164"/>
      <c r="N309" s="151"/>
    </row>
    <row r="310" ht="15.75" customHeight="1">
      <c r="L310" s="164"/>
      <c r="N310" s="151"/>
    </row>
    <row r="311" ht="15.75" customHeight="1">
      <c r="L311" s="164"/>
      <c r="N311" s="151"/>
    </row>
    <row r="312" ht="15.75" customHeight="1">
      <c r="L312" s="164"/>
      <c r="N312" s="151"/>
    </row>
    <row r="313" ht="15.75" customHeight="1">
      <c r="L313" s="164"/>
      <c r="N313" s="151"/>
    </row>
    <row r="314" ht="15.75" customHeight="1">
      <c r="L314" s="164"/>
      <c r="N314" s="151"/>
    </row>
    <row r="315" ht="15.75" customHeight="1">
      <c r="L315" s="164"/>
      <c r="N315" s="151"/>
    </row>
    <row r="316" ht="15.75" customHeight="1">
      <c r="L316" s="164"/>
      <c r="N316" s="151"/>
    </row>
    <row r="317" ht="15.75" customHeight="1">
      <c r="L317" s="164"/>
      <c r="N317" s="151"/>
    </row>
    <row r="318" ht="15.75" customHeight="1">
      <c r="L318" s="164"/>
      <c r="N318" s="151"/>
    </row>
    <row r="319" ht="15.75" customHeight="1">
      <c r="L319" s="164"/>
      <c r="N319" s="151"/>
    </row>
    <row r="320" ht="15.75" customHeight="1">
      <c r="L320" s="164"/>
      <c r="N320" s="151"/>
    </row>
    <row r="321" ht="15.75" customHeight="1">
      <c r="L321" s="164"/>
      <c r="N321" s="151"/>
    </row>
    <row r="322" ht="15.75" customHeight="1">
      <c r="L322" s="164"/>
      <c r="N322" s="151"/>
    </row>
    <row r="323" ht="15.75" customHeight="1">
      <c r="L323" s="164"/>
      <c r="N323" s="151"/>
    </row>
    <row r="324" ht="15.75" customHeight="1">
      <c r="L324" s="164"/>
      <c r="N324" s="151"/>
    </row>
    <row r="325" ht="15.75" customHeight="1">
      <c r="L325" s="164"/>
      <c r="N325" s="151"/>
    </row>
    <row r="326" ht="15.75" customHeight="1">
      <c r="L326" s="164"/>
      <c r="N326" s="151"/>
    </row>
    <row r="327" ht="15.75" customHeight="1">
      <c r="L327" s="164"/>
      <c r="N327" s="151"/>
    </row>
    <row r="328" ht="15.75" customHeight="1">
      <c r="L328" s="164"/>
      <c r="N328" s="151"/>
    </row>
    <row r="329" ht="15.75" customHeight="1">
      <c r="L329" s="164"/>
      <c r="N329" s="151"/>
    </row>
    <row r="330" ht="15.75" customHeight="1">
      <c r="L330" s="164"/>
      <c r="N330" s="151"/>
    </row>
    <row r="331" ht="15.75" customHeight="1">
      <c r="L331" s="164"/>
      <c r="N331" s="151"/>
    </row>
    <row r="332" ht="15.75" customHeight="1">
      <c r="L332" s="164"/>
      <c r="N332" s="151"/>
    </row>
    <row r="333" ht="15.75" customHeight="1">
      <c r="L333" s="164"/>
      <c r="N333" s="151"/>
    </row>
    <row r="334" ht="15.75" customHeight="1">
      <c r="L334" s="164"/>
      <c r="N334" s="151"/>
    </row>
    <row r="335" ht="15.75" customHeight="1">
      <c r="L335" s="164"/>
      <c r="N335" s="151"/>
    </row>
    <row r="336" ht="15.75" customHeight="1">
      <c r="L336" s="164"/>
      <c r="N336" s="151"/>
    </row>
    <row r="337" ht="15.75" customHeight="1">
      <c r="L337" s="164"/>
      <c r="N337" s="151"/>
    </row>
    <row r="338" ht="15.75" customHeight="1">
      <c r="L338" s="164"/>
      <c r="N338" s="151"/>
    </row>
    <row r="339" ht="15.75" customHeight="1">
      <c r="L339" s="164"/>
      <c r="N339" s="151"/>
    </row>
    <row r="340" ht="15.75" customHeight="1">
      <c r="L340" s="164"/>
      <c r="N340" s="151"/>
    </row>
    <row r="341" ht="15.75" customHeight="1">
      <c r="L341" s="164"/>
      <c r="N341" s="151"/>
    </row>
    <row r="342" ht="15.75" customHeight="1">
      <c r="L342" s="164"/>
      <c r="N342" s="151"/>
    </row>
    <row r="343" ht="15.75" customHeight="1">
      <c r="L343" s="164"/>
      <c r="N343" s="151"/>
    </row>
    <row r="344" ht="15.75" customHeight="1">
      <c r="L344" s="164"/>
      <c r="N344" s="151"/>
    </row>
    <row r="345" ht="15.75" customHeight="1">
      <c r="L345" s="164"/>
      <c r="N345" s="151"/>
    </row>
    <row r="346" ht="15.75" customHeight="1">
      <c r="L346" s="164"/>
      <c r="N346" s="151"/>
    </row>
    <row r="347" ht="15.75" customHeight="1">
      <c r="L347" s="164"/>
      <c r="N347" s="151"/>
    </row>
    <row r="348" ht="15.75" customHeight="1">
      <c r="L348" s="164"/>
      <c r="N348" s="151"/>
    </row>
    <row r="349" ht="15.75" customHeight="1">
      <c r="L349" s="164"/>
      <c r="N349" s="151"/>
    </row>
    <row r="350" ht="15.75" customHeight="1">
      <c r="L350" s="164"/>
      <c r="N350" s="151"/>
    </row>
    <row r="351" ht="15.75" customHeight="1">
      <c r="L351" s="164"/>
      <c r="N351" s="151"/>
    </row>
    <row r="352" ht="15.75" customHeight="1">
      <c r="L352" s="164"/>
      <c r="N352" s="151"/>
    </row>
    <row r="353" ht="15.75" customHeight="1">
      <c r="L353" s="164"/>
      <c r="N353" s="151"/>
    </row>
    <row r="354" ht="15.75" customHeight="1">
      <c r="L354" s="164"/>
      <c r="N354" s="151"/>
    </row>
    <row r="355" ht="15.75" customHeight="1">
      <c r="L355" s="164"/>
      <c r="N355" s="151"/>
    </row>
    <row r="356" ht="15.75" customHeight="1">
      <c r="L356" s="164"/>
      <c r="N356" s="151"/>
    </row>
    <row r="357" ht="15.75" customHeight="1">
      <c r="L357" s="164"/>
      <c r="N357" s="151"/>
    </row>
    <row r="358" ht="15.75" customHeight="1">
      <c r="L358" s="164"/>
      <c r="N358" s="151"/>
    </row>
    <row r="359" ht="15.75" customHeight="1">
      <c r="L359" s="164"/>
      <c r="N359" s="151"/>
    </row>
    <row r="360" ht="15.75" customHeight="1">
      <c r="L360" s="164"/>
      <c r="N360" s="151"/>
    </row>
    <row r="361" ht="15.75" customHeight="1">
      <c r="L361" s="164"/>
      <c r="N361" s="151"/>
    </row>
    <row r="362" ht="15.75" customHeight="1">
      <c r="L362" s="164"/>
      <c r="N362" s="151"/>
    </row>
    <row r="363" ht="15.75" customHeight="1">
      <c r="L363" s="164"/>
      <c r="N363" s="151"/>
    </row>
    <row r="364" ht="15.75" customHeight="1">
      <c r="L364" s="164"/>
      <c r="N364" s="151"/>
    </row>
    <row r="365" ht="15.75" customHeight="1">
      <c r="L365" s="164"/>
      <c r="N365" s="151"/>
    </row>
    <row r="366" ht="15.75" customHeight="1">
      <c r="L366" s="164"/>
      <c r="N366" s="151"/>
    </row>
    <row r="367" ht="15.75" customHeight="1">
      <c r="L367" s="164"/>
      <c r="N367" s="151"/>
    </row>
    <row r="368" ht="15.75" customHeight="1">
      <c r="L368" s="164"/>
      <c r="N368" s="151"/>
    </row>
    <row r="369" ht="15.75" customHeight="1">
      <c r="L369" s="164"/>
      <c r="N369" s="151"/>
    </row>
    <row r="370" ht="15.75" customHeight="1">
      <c r="L370" s="164"/>
      <c r="N370" s="151"/>
    </row>
    <row r="371" ht="15.75" customHeight="1">
      <c r="L371" s="164"/>
      <c r="N371" s="151"/>
    </row>
    <row r="372" ht="15.75" customHeight="1">
      <c r="L372" s="164"/>
      <c r="N372" s="151"/>
    </row>
    <row r="373" ht="15.75" customHeight="1">
      <c r="L373" s="164"/>
      <c r="N373" s="151"/>
    </row>
    <row r="374" ht="15.75" customHeight="1">
      <c r="L374" s="164"/>
      <c r="N374" s="151"/>
    </row>
    <row r="375" ht="15.75" customHeight="1">
      <c r="L375" s="164"/>
      <c r="N375" s="151"/>
    </row>
    <row r="376" ht="15.75" customHeight="1">
      <c r="L376" s="164"/>
      <c r="N376" s="151"/>
    </row>
    <row r="377" ht="15.75" customHeight="1">
      <c r="L377" s="164"/>
      <c r="N377" s="151"/>
    </row>
    <row r="378" ht="15.75" customHeight="1">
      <c r="L378" s="164"/>
      <c r="N378" s="151"/>
    </row>
    <row r="379" ht="15.75" customHeight="1">
      <c r="L379" s="164"/>
      <c r="N379" s="151"/>
    </row>
    <row r="380" ht="15.75" customHeight="1">
      <c r="L380" s="164"/>
      <c r="N380" s="151"/>
    </row>
    <row r="381" ht="15.75" customHeight="1">
      <c r="L381" s="164"/>
      <c r="N381" s="151"/>
    </row>
    <row r="382" ht="15.75" customHeight="1">
      <c r="L382" s="164"/>
      <c r="N382" s="151"/>
    </row>
    <row r="383" ht="15.75" customHeight="1">
      <c r="L383" s="164"/>
      <c r="N383" s="151"/>
    </row>
    <row r="384" ht="15.75" customHeight="1">
      <c r="L384" s="164"/>
      <c r="N384" s="151"/>
    </row>
    <row r="385" ht="15.75" customHeight="1">
      <c r="L385" s="164"/>
      <c r="N385" s="151"/>
    </row>
    <row r="386" ht="15.75" customHeight="1">
      <c r="L386" s="164"/>
      <c r="N386" s="151"/>
    </row>
    <row r="387" ht="15.75" customHeight="1">
      <c r="L387" s="164"/>
      <c r="N387" s="151"/>
    </row>
    <row r="388" ht="15.75" customHeight="1">
      <c r="L388" s="164"/>
      <c r="N388" s="151"/>
    </row>
    <row r="389" ht="15.75" customHeight="1">
      <c r="L389" s="164"/>
      <c r="N389" s="151"/>
    </row>
    <row r="390" ht="15.75" customHeight="1">
      <c r="L390" s="164"/>
      <c r="N390" s="151"/>
    </row>
    <row r="391" ht="15.75" customHeight="1">
      <c r="L391" s="164"/>
      <c r="N391" s="151"/>
    </row>
    <row r="392" ht="15.75" customHeight="1">
      <c r="L392" s="164"/>
      <c r="N392" s="151"/>
    </row>
    <row r="393" ht="15.75" customHeight="1">
      <c r="L393" s="164"/>
      <c r="N393" s="151"/>
    </row>
    <row r="394" ht="15.75" customHeight="1">
      <c r="L394" s="164"/>
      <c r="N394" s="151"/>
    </row>
    <row r="395" ht="15.75" customHeight="1">
      <c r="L395" s="164"/>
      <c r="N395" s="151"/>
    </row>
    <row r="396" ht="15.75" customHeight="1">
      <c r="L396" s="164"/>
      <c r="N396" s="151"/>
    </row>
    <row r="397" ht="15.75" customHeight="1">
      <c r="L397" s="164"/>
      <c r="N397" s="151"/>
    </row>
    <row r="398" ht="15.75" customHeight="1">
      <c r="L398" s="164"/>
      <c r="N398" s="151"/>
    </row>
    <row r="399" ht="15.75" customHeight="1">
      <c r="L399" s="164"/>
      <c r="N399" s="151"/>
    </row>
    <row r="400" ht="15.75" customHeight="1">
      <c r="L400" s="164"/>
      <c r="N400" s="151"/>
    </row>
    <row r="401" ht="15.75" customHeight="1">
      <c r="L401" s="164"/>
      <c r="N401" s="151"/>
    </row>
    <row r="402" ht="15.75" customHeight="1">
      <c r="L402" s="164"/>
      <c r="N402" s="151"/>
    </row>
    <row r="403" ht="15.75" customHeight="1">
      <c r="L403" s="164"/>
      <c r="N403" s="151"/>
    </row>
    <row r="404" ht="15.75" customHeight="1">
      <c r="L404" s="164"/>
      <c r="N404" s="151"/>
    </row>
    <row r="405" ht="15.75" customHeight="1">
      <c r="L405" s="164"/>
      <c r="N405" s="151"/>
    </row>
    <row r="406" ht="15.75" customHeight="1">
      <c r="L406" s="164"/>
      <c r="N406" s="151"/>
    </row>
    <row r="407" ht="15.75" customHeight="1">
      <c r="L407" s="164"/>
      <c r="N407" s="151"/>
    </row>
    <row r="408" ht="15.75" customHeight="1">
      <c r="L408" s="164"/>
      <c r="N408" s="151"/>
    </row>
    <row r="409" ht="15.75" customHeight="1">
      <c r="L409" s="164"/>
      <c r="N409" s="151"/>
    </row>
    <row r="410" ht="15.75" customHeight="1">
      <c r="L410" s="164"/>
      <c r="N410" s="151"/>
    </row>
    <row r="411" ht="15.75" customHeight="1">
      <c r="L411" s="164"/>
      <c r="N411" s="151"/>
    </row>
    <row r="412" ht="15.75" customHeight="1">
      <c r="L412" s="164"/>
      <c r="N412" s="151"/>
    </row>
    <row r="413" ht="15.75" customHeight="1">
      <c r="L413" s="164"/>
      <c r="N413" s="151"/>
    </row>
    <row r="414" ht="15.75" customHeight="1">
      <c r="L414" s="164"/>
      <c r="N414" s="151"/>
    </row>
    <row r="415" ht="15.75" customHeight="1">
      <c r="L415" s="164"/>
      <c r="N415" s="151"/>
    </row>
    <row r="416" ht="15.75" customHeight="1">
      <c r="L416" s="164"/>
      <c r="N416" s="151"/>
    </row>
    <row r="417" ht="15.75" customHeight="1">
      <c r="L417" s="164"/>
      <c r="N417" s="151"/>
    </row>
    <row r="418" ht="15.75" customHeight="1">
      <c r="L418" s="164"/>
      <c r="N418" s="151"/>
    </row>
    <row r="419" ht="15.75" customHeight="1">
      <c r="L419" s="164"/>
      <c r="N419" s="151"/>
    </row>
    <row r="420" ht="15.75" customHeight="1">
      <c r="L420" s="164"/>
      <c r="N420" s="151"/>
    </row>
    <row r="421" ht="15.75" customHeight="1">
      <c r="L421" s="164"/>
      <c r="N421" s="151"/>
    </row>
    <row r="422" ht="15.75" customHeight="1">
      <c r="L422" s="164"/>
      <c r="N422" s="151"/>
    </row>
    <row r="423" ht="15.75" customHeight="1">
      <c r="L423" s="164"/>
      <c r="N423" s="151"/>
    </row>
    <row r="424" ht="15.75" customHeight="1">
      <c r="L424" s="164"/>
      <c r="N424" s="151"/>
    </row>
    <row r="425" ht="15.75" customHeight="1">
      <c r="L425" s="164"/>
      <c r="N425" s="151"/>
    </row>
    <row r="426" ht="15.75" customHeight="1">
      <c r="L426" s="164"/>
      <c r="N426" s="151"/>
    </row>
    <row r="427" ht="15.75" customHeight="1">
      <c r="L427" s="164"/>
      <c r="N427" s="151"/>
    </row>
    <row r="428" ht="15.75" customHeight="1">
      <c r="L428" s="164"/>
      <c r="N428" s="151"/>
    </row>
    <row r="429" ht="15.75" customHeight="1">
      <c r="L429" s="164"/>
      <c r="N429" s="151"/>
    </row>
    <row r="430" ht="15.75" customHeight="1">
      <c r="L430" s="164"/>
      <c r="N430" s="151"/>
    </row>
    <row r="431" ht="15.75" customHeight="1">
      <c r="L431" s="164"/>
      <c r="N431" s="151"/>
    </row>
    <row r="432" ht="15.75" customHeight="1">
      <c r="L432" s="164"/>
      <c r="N432" s="151"/>
    </row>
    <row r="433" ht="15.75" customHeight="1">
      <c r="L433" s="164"/>
      <c r="N433" s="151"/>
    </row>
    <row r="434" ht="15.75" customHeight="1">
      <c r="L434" s="164"/>
      <c r="N434" s="151"/>
    </row>
    <row r="435" ht="15.75" customHeight="1">
      <c r="L435" s="164"/>
      <c r="N435" s="151"/>
    </row>
    <row r="436" ht="15.75" customHeight="1">
      <c r="L436" s="164"/>
      <c r="N436" s="151"/>
    </row>
    <row r="437" ht="15.75" customHeight="1">
      <c r="L437" s="164"/>
      <c r="N437" s="151"/>
    </row>
    <row r="438" ht="15.75" customHeight="1">
      <c r="L438" s="164"/>
      <c r="N438" s="151"/>
    </row>
    <row r="439" ht="15.75" customHeight="1">
      <c r="L439" s="164"/>
      <c r="N439" s="151"/>
    </row>
    <row r="440" ht="15.75" customHeight="1">
      <c r="L440" s="164"/>
      <c r="N440" s="151"/>
    </row>
    <row r="441" ht="15.75" customHeight="1">
      <c r="L441" s="164"/>
      <c r="N441" s="151"/>
    </row>
    <row r="442" ht="15.75" customHeight="1">
      <c r="L442" s="164"/>
      <c r="N442" s="151"/>
    </row>
    <row r="443" ht="15.75" customHeight="1">
      <c r="L443" s="164"/>
      <c r="N443" s="151"/>
    </row>
    <row r="444" ht="15.75" customHeight="1">
      <c r="L444" s="164"/>
      <c r="N444" s="151"/>
    </row>
    <row r="445" ht="15.75" customHeight="1">
      <c r="L445" s="164"/>
      <c r="N445" s="151"/>
    </row>
    <row r="446" ht="15.75" customHeight="1">
      <c r="L446" s="164"/>
      <c r="N446" s="151"/>
    </row>
    <row r="447" ht="15.75" customHeight="1">
      <c r="L447" s="164"/>
      <c r="N447" s="151"/>
    </row>
    <row r="448" ht="15.75" customHeight="1">
      <c r="L448" s="164"/>
      <c r="N448" s="151"/>
    </row>
    <row r="449" ht="15.75" customHeight="1">
      <c r="L449" s="164"/>
      <c r="N449" s="151"/>
    </row>
    <row r="450" ht="15.75" customHeight="1">
      <c r="L450" s="164"/>
      <c r="N450" s="151"/>
    </row>
    <row r="451" ht="15.75" customHeight="1">
      <c r="L451" s="164"/>
      <c r="N451" s="151"/>
    </row>
    <row r="452" ht="15.75" customHeight="1">
      <c r="L452" s="164"/>
      <c r="N452" s="151"/>
    </row>
    <row r="453" ht="15.75" customHeight="1">
      <c r="L453" s="164"/>
      <c r="N453" s="151"/>
    </row>
    <row r="454" ht="15.75" customHeight="1">
      <c r="L454" s="164"/>
      <c r="N454" s="151"/>
    </row>
    <row r="455" ht="15.75" customHeight="1">
      <c r="L455" s="164"/>
      <c r="N455" s="151"/>
    </row>
    <row r="456" ht="15.75" customHeight="1">
      <c r="L456" s="164"/>
      <c r="N456" s="151"/>
    </row>
    <row r="457" ht="15.75" customHeight="1">
      <c r="L457" s="164"/>
      <c r="N457" s="151"/>
    </row>
    <row r="458" ht="15.75" customHeight="1">
      <c r="L458" s="164"/>
      <c r="N458" s="151"/>
    </row>
    <row r="459" ht="15.75" customHeight="1">
      <c r="L459" s="164"/>
      <c r="N459" s="151"/>
    </row>
    <row r="460" ht="15.75" customHeight="1">
      <c r="L460" s="164"/>
      <c r="N460" s="151"/>
    </row>
    <row r="461" ht="15.75" customHeight="1">
      <c r="L461" s="164"/>
      <c r="N461" s="151"/>
    </row>
    <row r="462" ht="15.75" customHeight="1">
      <c r="L462" s="164"/>
      <c r="N462" s="151"/>
    </row>
    <row r="463" ht="15.75" customHeight="1">
      <c r="L463" s="164"/>
      <c r="N463" s="151"/>
    </row>
    <row r="464" ht="15.75" customHeight="1">
      <c r="L464" s="164"/>
      <c r="N464" s="151"/>
    </row>
    <row r="465" ht="15.75" customHeight="1">
      <c r="L465" s="164"/>
      <c r="N465" s="151"/>
    </row>
    <row r="466" ht="15.75" customHeight="1">
      <c r="L466" s="164"/>
      <c r="N466" s="151"/>
    </row>
    <row r="467" ht="15.75" customHeight="1">
      <c r="L467" s="164"/>
      <c r="N467" s="151"/>
    </row>
    <row r="468" ht="15.75" customHeight="1">
      <c r="L468" s="164"/>
      <c r="N468" s="151"/>
    </row>
    <row r="469" ht="15.75" customHeight="1">
      <c r="L469" s="164"/>
      <c r="N469" s="151"/>
    </row>
    <row r="470" ht="15.75" customHeight="1">
      <c r="L470" s="164"/>
      <c r="N470" s="151"/>
    </row>
    <row r="471" ht="15.75" customHeight="1">
      <c r="L471" s="164"/>
      <c r="N471" s="151"/>
    </row>
    <row r="472" ht="15.75" customHeight="1">
      <c r="L472" s="164"/>
      <c r="N472" s="151"/>
    </row>
    <row r="473" ht="15.75" customHeight="1">
      <c r="L473" s="164"/>
      <c r="N473" s="151"/>
    </row>
    <row r="474" ht="15.75" customHeight="1">
      <c r="L474" s="164"/>
      <c r="N474" s="151"/>
    </row>
    <row r="475" ht="15.75" customHeight="1">
      <c r="L475" s="164"/>
      <c r="N475" s="151"/>
    </row>
    <row r="476" ht="15.75" customHeight="1">
      <c r="L476" s="164"/>
      <c r="N476" s="151"/>
    </row>
    <row r="477" ht="15.75" customHeight="1">
      <c r="L477" s="164"/>
      <c r="N477" s="151"/>
    </row>
    <row r="478" ht="15.75" customHeight="1">
      <c r="L478" s="164"/>
      <c r="N478" s="151"/>
    </row>
    <row r="479" ht="15.75" customHeight="1">
      <c r="L479" s="164"/>
      <c r="N479" s="151"/>
    </row>
    <row r="480" ht="15.75" customHeight="1">
      <c r="L480" s="164"/>
      <c r="N480" s="151"/>
    </row>
    <row r="481" ht="15.75" customHeight="1">
      <c r="L481" s="164"/>
      <c r="N481" s="151"/>
    </row>
    <row r="482" ht="15.75" customHeight="1">
      <c r="L482" s="164"/>
      <c r="N482" s="151"/>
    </row>
    <row r="483" ht="15.75" customHeight="1">
      <c r="L483" s="164"/>
      <c r="N483" s="151"/>
    </row>
    <row r="484" ht="15.75" customHeight="1">
      <c r="L484" s="164"/>
      <c r="N484" s="151"/>
    </row>
    <row r="485" ht="15.75" customHeight="1">
      <c r="L485" s="164"/>
      <c r="N485" s="151"/>
    </row>
    <row r="486" ht="15.75" customHeight="1">
      <c r="L486" s="164"/>
      <c r="N486" s="151"/>
    </row>
    <row r="487" ht="15.75" customHeight="1">
      <c r="L487" s="164"/>
      <c r="N487" s="151"/>
    </row>
    <row r="488" ht="15.75" customHeight="1">
      <c r="L488" s="164"/>
      <c r="N488" s="151"/>
    </row>
    <row r="489" ht="15.75" customHeight="1">
      <c r="L489" s="164"/>
      <c r="N489" s="151"/>
    </row>
    <row r="490" ht="15.75" customHeight="1">
      <c r="L490" s="164"/>
      <c r="N490" s="151"/>
    </row>
    <row r="491" ht="15.75" customHeight="1">
      <c r="L491" s="164"/>
      <c r="N491" s="151"/>
    </row>
    <row r="492" ht="15.75" customHeight="1">
      <c r="L492" s="164"/>
      <c r="N492" s="151"/>
    </row>
    <row r="493" ht="15.75" customHeight="1">
      <c r="L493" s="164"/>
      <c r="N493" s="151"/>
    </row>
    <row r="494" ht="15.75" customHeight="1">
      <c r="L494" s="164"/>
      <c r="N494" s="151"/>
    </row>
    <row r="495" ht="15.75" customHeight="1">
      <c r="L495" s="164"/>
      <c r="N495" s="151"/>
    </row>
    <row r="496" ht="15.75" customHeight="1">
      <c r="L496" s="164"/>
      <c r="N496" s="151"/>
    </row>
    <row r="497" ht="15.75" customHeight="1">
      <c r="L497" s="164"/>
      <c r="N497" s="151"/>
    </row>
    <row r="498" ht="15.75" customHeight="1">
      <c r="L498" s="164"/>
      <c r="N498" s="151"/>
    </row>
    <row r="499" ht="15.75" customHeight="1">
      <c r="L499" s="164"/>
      <c r="N499" s="151"/>
    </row>
    <row r="500" ht="15.75" customHeight="1">
      <c r="L500" s="164"/>
      <c r="N500" s="151"/>
    </row>
    <row r="501" ht="15.75" customHeight="1">
      <c r="L501" s="164"/>
      <c r="N501" s="151"/>
    </row>
    <row r="502" ht="15.75" customHeight="1">
      <c r="L502" s="164"/>
      <c r="N502" s="151"/>
    </row>
    <row r="503" ht="15.75" customHeight="1">
      <c r="L503" s="164"/>
      <c r="N503" s="151"/>
    </row>
    <row r="504" ht="15.75" customHeight="1">
      <c r="L504" s="164"/>
      <c r="N504" s="151"/>
    </row>
    <row r="505" ht="15.75" customHeight="1">
      <c r="L505" s="164"/>
      <c r="N505" s="151"/>
    </row>
    <row r="506" ht="15.75" customHeight="1">
      <c r="L506" s="164"/>
      <c r="N506" s="151"/>
    </row>
    <row r="507" ht="15.75" customHeight="1">
      <c r="L507" s="164"/>
      <c r="N507" s="151"/>
    </row>
    <row r="508" ht="15.75" customHeight="1">
      <c r="L508" s="164"/>
      <c r="N508" s="151"/>
    </row>
    <row r="509" ht="15.75" customHeight="1">
      <c r="L509" s="164"/>
      <c r="N509" s="151"/>
    </row>
    <row r="510" ht="15.75" customHeight="1">
      <c r="L510" s="164"/>
      <c r="N510" s="151"/>
    </row>
    <row r="511" ht="15.75" customHeight="1">
      <c r="L511" s="164"/>
      <c r="N511" s="151"/>
    </row>
    <row r="512" ht="15.75" customHeight="1">
      <c r="L512" s="164"/>
      <c r="N512" s="151"/>
    </row>
    <row r="513" ht="15.75" customHeight="1">
      <c r="L513" s="164"/>
      <c r="N513" s="151"/>
    </row>
    <row r="514" ht="15.75" customHeight="1">
      <c r="L514" s="164"/>
      <c r="N514" s="151"/>
    </row>
    <row r="515" ht="15.75" customHeight="1">
      <c r="L515" s="164"/>
      <c r="N515" s="151"/>
    </row>
    <row r="516" ht="15.75" customHeight="1">
      <c r="L516" s="164"/>
      <c r="N516" s="151"/>
    </row>
    <row r="517" ht="15.75" customHeight="1">
      <c r="L517" s="164"/>
      <c r="N517" s="151"/>
    </row>
    <row r="518" ht="15.75" customHeight="1">
      <c r="L518" s="164"/>
      <c r="N518" s="151"/>
    </row>
    <row r="519" ht="15.75" customHeight="1">
      <c r="L519" s="164"/>
      <c r="N519" s="151"/>
    </row>
    <row r="520" ht="15.75" customHeight="1">
      <c r="L520" s="164"/>
      <c r="N520" s="151"/>
    </row>
    <row r="521" ht="15.75" customHeight="1">
      <c r="L521" s="164"/>
      <c r="N521" s="151"/>
    </row>
    <row r="522" ht="15.75" customHeight="1">
      <c r="L522" s="164"/>
      <c r="N522" s="151"/>
    </row>
    <row r="523" ht="15.75" customHeight="1">
      <c r="L523" s="164"/>
      <c r="N523" s="151"/>
    </row>
    <row r="524" ht="15.75" customHeight="1">
      <c r="L524" s="164"/>
      <c r="N524" s="151"/>
    </row>
    <row r="525" ht="15.75" customHeight="1">
      <c r="L525" s="164"/>
      <c r="N525" s="151"/>
    </row>
    <row r="526" ht="15.75" customHeight="1">
      <c r="L526" s="164"/>
      <c r="N526" s="151"/>
    </row>
    <row r="527" ht="15.75" customHeight="1">
      <c r="L527" s="164"/>
      <c r="N527" s="151"/>
    </row>
    <row r="528" ht="15.75" customHeight="1">
      <c r="L528" s="164"/>
      <c r="N528" s="151"/>
    </row>
    <row r="529" ht="15.75" customHeight="1">
      <c r="L529" s="164"/>
      <c r="N529" s="151"/>
    </row>
    <row r="530" ht="15.75" customHeight="1">
      <c r="L530" s="164"/>
      <c r="N530" s="151"/>
    </row>
    <row r="531" ht="15.75" customHeight="1">
      <c r="L531" s="164"/>
      <c r="N531" s="151"/>
    </row>
    <row r="532" ht="15.75" customHeight="1">
      <c r="L532" s="164"/>
      <c r="N532" s="151"/>
    </row>
    <row r="533" ht="15.75" customHeight="1">
      <c r="L533" s="164"/>
      <c r="N533" s="151"/>
    </row>
    <row r="534" ht="15.75" customHeight="1">
      <c r="L534" s="164"/>
      <c r="N534" s="151"/>
    </row>
    <row r="535" ht="15.75" customHeight="1">
      <c r="L535" s="164"/>
      <c r="N535" s="151"/>
    </row>
    <row r="536" ht="15.75" customHeight="1">
      <c r="L536" s="164"/>
      <c r="N536" s="151"/>
    </row>
    <row r="537" ht="15.75" customHeight="1">
      <c r="L537" s="164"/>
      <c r="N537" s="151"/>
    </row>
    <row r="538" ht="15.75" customHeight="1">
      <c r="L538" s="164"/>
      <c r="N538" s="151"/>
    </row>
    <row r="539" ht="15.75" customHeight="1">
      <c r="L539" s="164"/>
      <c r="N539" s="151"/>
    </row>
    <row r="540" ht="15.75" customHeight="1">
      <c r="L540" s="164"/>
      <c r="N540" s="151"/>
    </row>
    <row r="541" ht="15.75" customHeight="1">
      <c r="L541" s="164"/>
      <c r="N541" s="151"/>
    </row>
    <row r="542" ht="15.75" customHeight="1">
      <c r="L542" s="164"/>
      <c r="N542" s="151"/>
    </row>
    <row r="543" ht="15.75" customHeight="1">
      <c r="L543" s="164"/>
      <c r="N543" s="151"/>
    </row>
    <row r="544" ht="15.75" customHeight="1">
      <c r="L544" s="164"/>
      <c r="N544" s="151"/>
    </row>
    <row r="545" ht="15.75" customHeight="1">
      <c r="L545" s="164"/>
      <c r="N545" s="151"/>
    </row>
    <row r="546" ht="15.75" customHeight="1">
      <c r="L546" s="164"/>
      <c r="N546" s="151"/>
    </row>
    <row r="547" ht="15.75" customHeight="1">
      <c r="L547" s="164"/>
      <c r="N547" s="151"/>
    </row>
    <row r="548" ht="15.75" customHeight="1">
      <c r="L548" s="164"/>
      <c r="N548" s="151"/>
    </row>
    <row r="549" ht="15.75" customHeight="1">
      <c r="L549" s="164"/>
      <c r="N549" s="151"/>
    </row>
    <row r="550" ht="15.75" customHeight="1">
      <c r="L550" s="164"/>
      <c r="N550" s="151"/>
    </row>
    <row r="551" ht="15.75" customHeight="1">
      <c r="L551" s="164"/>
      <c r="N551" s="151"/>
    </row>
    <row r="552" ht="15.75" customHeight="1">
      <c r="L552" s="164"/>
      <c r="N552" s="151"/>
    </row>
    <row r="553" ht="15.75" customHeight="1">
      <c r="L553" s="164"/>
      <c r="N553" s="151"/>
    </row>
    <row r="554" ht="15.75" customHeight="1">
      <c r="L554" s="164"/>
      <c r="N554" s="151"/>
    </row>
    <row r="555" ht="15.75" customHeight="1">
      <c r="L555" s="164"/>
      <c r="N555" s="151"/>
    </row>
    <row r="556" ht="15.75" customHeight="1">
      <c r="L556" s="164"/>
      <c r="N556" s="151"/>
    </row>
    <row r="557" ht="15.75" customHeight="1">
      <c r="L557" s="164"/>
      <c r="N557" s="151"/>
    </row>
    <row r="558" ht="15.75" customHeight="1">
      <c r="L558" s="164"/>
      <c r="N558" s="151"/>
    </row>
    <row r="559" ht="15.75" customHeight="1">
      <c r="L559" s="164"/>
      <c r="N559" s="151"/>
    </row>
    <row r="560" ht="15.75" customHeight="1">
      <c r="L560" s="164"/>
      <c r="N560" s="151"/>
    </row>
    <row r="561" ht="15.75" customHeight="1">
      <c r="L561" s="164"/>
      <c r="N561" s="151"/>
    </row>
    <row r="562" ht="15.75" customHeight="1">
      <c r="L562" s="164"/>
      <c r="N562" s="151"/>
    </row>
    <row r="563" ht="15.75" customHeight="1">
      <c r="L563" s="164"/>
      <c r="N563" s="151"/>
    </row>
    <row r="564" ht="15.75" customHeight="1">
      <c r="L564" s="164"/>
      <c r="N564" s="151"/>
    </row>
    <row r="565" ht="15.75" customHeight="1">
      <c r="L565" s="164"/>
      <c r="N565" s="151"/>
    </row>
    <row r="566" ht="15.75" customHeight="1">
      <c r="L566" s="164"/>
      <c r="N566" s="151"/>
    </row>
    <row r="567" ht="15.75" customHeight="1">
      <c r="L567" s="164"/>
      <c r="N567" s="151"/>
    </row>
    <row r="568" ht="15.75" customHeight="1">
      <c r="L568" s="164"/>
      <c r="N568" s="151"/>
    </row>
    <row r="569" ht="15.75" customHeight="1">
      <c r="L569" s="164"/>
      <c r="N569" s="151"/>
    </row>
    <row r="570" ht="15.75" customHeight="1">
      <c r="L570" s="164"/>
      <c r="N570" s="151"/>
    </row>
    <row r="571" ht="15.75" customHeight="1">
      <c r="L571" s="164"/>
      <c r="N571" s="151"/>
    </row>
    <row r="572" ht="15.75" customHeight="1">
      <c r="L572" s="164"/>
      <c r="N572" s="151"/>
    </row>
    <row r="573" ht="15.75" customHeight="1">
      <c r="L573" s="164"/>
      <c r="N573" s="151"/>
    </row>
    <row r="574" ht="15.75" customHeight="1">
      <c r="L574" s="164"/>
      <c r="N574" s="151"/>
    </row>
    <row r="575" ht="15.75" customHeight="1">
      <c r="L575" s="164"/>
      <c r="N575" s="151"/>
    </row>
    <row r="576" ht="15.75" customHeight="1">
      <c r="L576" s="164"/>
      <c r="N576" s="151"/>
    </row>
    <row r="577" ht="15.75" customHeight="1">
      <c r="L577" s="164"/>
      <c r="N577" s="151"/>
    </row>
    <row r="578" ht="15.75" customHeight="1">
      <c r="L578" s="164"/>
      <c r="N578" s="151"/>
    </row>
    <row r="579" ht="15.75" customHeight="1">
      <c r="L579" s="164"/>
      <c r="N579" s="151"/>
    </row>
    <row r="580" ht="15.75" customHeight="1">
      <c r="L580" s="164"/>
      <c r="N580" s="151"/>
    </row>
    <row r="581" ht="15.75" customHeight="1">
      <c r="L581" s="164"/>
      <c r="N581" s="151"/>
    </row>
    <row r="582" ht="15.75" customHeight="1">
      <c r="L582" s="164"/>
      <c r="N582" s="151"/>
    </row>
    <row r="583" ht="15.75" customHeight="1">
      <c r="L583" s="164"/>
      <c r="N583" s="151"/>
    </row>
    <row r="584" ht="15.75" customHeight="1">
      <c r="L584" s="164"/>
      <c r="N584" s="151"/>
    </row>
    <row r="585" ht="15.75" customHeight="1">
      <c r="L585" s="164"/>
      <c r="N585" s="151"/>
    </row>
    <row r="586" ht="15.75" customHeight="1">
      <c r="L586" s="164"/>
      <c r="N586" s="151"/>
    </row>
    <row r="587" ht="15.75" customHeight="1">
      <c r="L587" s="164"/>
      <c r="N587" s="151"/>
    </row>
    <row r="588" ht="15.75" customHeight="1">
      <c r="L588" s="164"/>
      <c r="N588" s="151"/>
    </row>
    <row r="589" ht="15.75" customHeight="1">
      <c r="L589" s="164"/>
      <c r="N589" s="151"/>
    </row>
    <row r="590" ht="15.75" customHeight="1">
      <c r="L590" s="164"/>
      <c r="N590" s="151"/>
    </row>
    <row r="591" ht="15.75" customHeight="1">
      <c r="L591" s="164"/>
      <c r="N591" s="151"/>
    </row>
    <row r="592" ht="15.75" customHeight="1">
      <c r="L592" s="164"/>
      <c r="N592" s="151"/>
    </row>
    <row r="593" ht="15.75" customHeight="1">
      <c r="L593" s="164"/>
      <c r="N593" s="151"/>
    </row>
    <row r="594" ht="15.75" customHeight="1">
      <c r="L594" s="164"/>
      <c r="N594" s="151"/>
    </row>
    <row r="595" ht="15.75" customHeight="1">
      <c r="L595" s="164"/>
      <c r="N595" s="151"/>
    </row>
    <row r="596" ht="15.75" customHeight="1">
      <c r="L596" s="164"/>
      <c r="N596" s="151"/>
    </row>
    <row r="597" ht="15.75" customHeight="1">
      <c r="L597" s="164"/>
      <c r="N597" s="151"/>
    </row>
    <row r="598" ht="15.75" customHeight="1">
      <c r="L598" s="164"/>
      <c r="N598" s="151"/>
    </row>
    <row r="599" ht="15.75" customHeight="1">
      <c r="L599" s="164"/>
      <c r="N599" s="151"/>
    </row>
    <row r="600" ht="15.75" customHeight="1">
      <c r="L600" s="164"/>
      <c r="N600" s="151"/>
    </row>
    <row r="601" ht="15.75" customHeight="1">
      <c r="L601" s="164"/>
      <c r="N601" s="151"/>
    </row>
    <row r="602" ht="15.75" customHeight="1">
      <c r="L602" s="164"/>
      <c r="N602" s="151"/>
    </row>
    <row r="603" ht="15.75" customHeight="1">
      <c r="L603" s="164"/>
      <c r="N603" s="151"/>
    </row>
    <row r="604" ht="15.75" customHeight="1">
      <c r="L604" s="164"/>
      <c r="N604" s="151"/>
    </row>
    <row r="605" ht="15.75" customHeight="1">
      <c r="L605" s="164"/>
      <c r="N605" s="151"/>
    </row>
    <row r="606" ht="15.75" customHeight="1">
      <c r="L606" s="164"/>
      <c r="N606" s="151"/>
    </row>
    <row r="607" ht="15.75" customHeight="1">
      <c r="L607" s="164"/>
      <c r="N607" s="151"/>
    </row>
    <row r="608" ht="15.75" customHeight="1">
      <c r="L608" s="164"/>
      <c r="N608" s="151"/>
    </row>
    <row r="609" ht="15.75" customHeight="1">
      <c r="L609" s="164"/>
      <c r="N609" s="151"/>
    </row>
    <row r="610" ht="15.75" customHeight="1">
      <c r="L610" s="164"/>
      <c r="N610" s="151"/>
    </row>
    <row r="611" ht="15.75" customHeight="1">
      <c r="L611" s="164"/>
      <c r="N611" s="151"/>
    </row>
    <row r="612" ht="15.75" customHeight="1">
      <c r="L612" s="164"/>
      <c r="N612" s="151"/>
    </row>
    <row r="613" ht="15.75" customHeight="1">
      <c r="L613" s="164"/>
      <c r="N613" s="151"/>
    </row>
    <row r="614" ht="15.75" customHeight="1">
      <c r="L614" s="164"/>
      <c r="N614" s="151"/>
    </row>
    <row r="615" ht="15.75" customHeight="1">
      <c r="L615" s="164"/>
      <c r="N615" s="151"/>
    </row>
    <row r="616" ht="15.75" customHeight="1">
      <c r="L616" s="164"/>
      <c r="N616" s="151"/>
    </row>
    <row r="617" ht="15.75" customHeight="1">
      <c r="L617" s="164"/>
      <c r="N617" s="151"/>
    </row>
    <row r="618" ht="15.75" customHeight="1">
      <c r="L618" s="164"/>
      <c r="N618" s="151"/>
    </row>
    <row r="619" ht="15.75" customHeight="1">
      <c r="L619" s="164"/>
      <c r="N619" s="151"/>
    </row>
    <row r="620" ht="15.75" customHeight="1">
      <c r="L620" s="164"/>
      <c r="N620" s="151"/>
    </row>
    <row r="621" ht="15.75" customHeight="1">
      <c r="L621" s="164"/>
      <c r="N621" s="151"/>
    </row>
    <row r="622" ht="15.75" customHeight="1">
      <c r="L622" s="164"/>
      <c r="N622" s="151"/>
    </row>
    <row r="623" ht="15.75" customHeight="1">
      <c r="L623" s="164"/>
      <c r="N623" s="151"/>
    </row>
    <row r="624" ht="15.75" customHeight="1">
      <c r="L624" s="164"/>
      <c r="N624" s="151"/>
    </row>
    <row r="625" ht="15.75" customHeight="1">
      <c r="L625" s="164"/>
      <c r="N625" s="151"/>
    </row>
    <row r="626" ht="15.75" customHeight="1">
      <c r="L626" s="164"/>
      <c r="N626" s="151"/>
    </row>
    <row r="627" ht="15.75" customHeight="1">
      <c r="L627" s="164"/>
      <c r="N627" s="151"/>
    </row>
    <row r="628" ht="15.75" customHeight="1">
      <c r="L628" s="164"/>
      <c r="N628" s="151"/>
    </row>
    <row r="629" ht="15.75" customHeight="1">
      <c r="L629" s="164"/>
      <c r="N629" s="151"/>
    </row>
    <row r="630" ht="15.75" customHeight="1">
      <c r="L630" s="164"/>
      <c r="N630" s="151"/>
    </row>
    <row r="631" ht="15.75" customHeight="1">
      <c r="L631" s="164"/>
      <c r="N631" s="151"/>
    </row>
    <row r="632" ht="15.75" customHeight="1">
      <c r="L632" s="164"/>
      <c r="N632" s="151"/>
    </row>
    <row r="633" ht="15.75" customHeight="1">
      <c r="L633" s="164"/>
      <c r="N633" s="151"/>
    </row>
    <row r="634" ht="15.75" customHeight="1">
      <c r="L634" s="164"/>
      <c r="N634" s="151"/>
    </row>
    <row r="635" ht="15.75" customHeight="1">
      <c r="L635" s="164"/>
      <c r="N635" s="151"/>
    </row>
    <row r="636" ht="15.75" customHeight="1">
      <c r="L636" s="164"/>
      <c r="N636" s="151"/>
    </row>
    <row r="637" ht="15.75" customHeight="1">
      <c r="L637" s="164"/>
      <c r="N637" s="151"/>
    </row>
    <row r="638" ht="15.75" customHeight="1">
      <c r="L638" s="164"/>
      <c r="N638" s="151"/>
    </row>
    <row r="639" ht="15.75" customHeight="1">
      <c r="L639" s="164"/>
      <c r="N639" s="151"/>
    </row>
    <row r="640" ht="15.75" customHeight="1">
      <c r="L640" s="164"/>
      <c r="N640" s="151"/>
    </row>
    <row r="641" ht="15.75" customHeight="1">
      <c r="L641" s="164"/>
      <c r="N641" s="151"/>
    </row>
    <row r="642" ht="15.75" customHeight="1">
      <c r="L642" s="164"/>
      <c r="N642" s="151"/>
    </row>
    <row r="643" ht="15.75" customHeight="1">
      <c r="L643" s="164"/>
      <c r="N643" s="151"/>
    </row>
    <row r="644" ht="15.75" customHeight="1">
      <c r="L644" s="164"/>
      <c r="N644" s="151"/>
    </row>
    <row r="645" ht="15.75" customHeight="1">
      <c r="L645" s="164"/>
      <c r="N645" s="151"/>
    </row>
    <row r="646" ht="15.75" customHeight="1">
      <c r="L646" s="164"/>
      <c r="N646" s="151"/>
    </row>
    <row r="647" ht="15.75" customHeight="1">
      <c r="L647" s="164"/>
      <c r="N647" s="151"/>
    </row>
    <row r="648" ht="15.75" customHeight="1">
      <c r="L648" s="164"/>
      <c r="N648" s="151"/>
    </row>
    <row r="649" ht="15.75" customHeight="1">
      <c r="L649" s="164"/>
      <c r="N649" s="151"/>
    </row>
    <row r="650" ht="15.75" customHeight="1">
      <c r="L650" s="164"/>
      <c r="N650" s="151"/>
    </row>
    <row r="651" ht="15.75" customHeight="1">
      <c r="L651" s="164"/>
      <c r="N651" s="151"/>
    </row>
    <row r="652" ht="15.75" customHeight="1">
      <c r="L652" s="164"/>
      <c r="N652" s="151"/>
    </row>
    <row r="653" ht="15.75" customHeight="1">
      <c r="L653" s="164"/>
      <c r="N653" s="151"/>
    </row>
    <row r="654" ht="15.75" customHeight="1">
      <c r="L654" s="164"/>
      <c r="N654" s="151"/>
    </row>
    <row r="655" ht="15.75" customHeight="1">
      <c r="L655" s="164"/>
      <c r="N655" s="151"/>
    </row>
    <row r="656" ht="15.75" customHeight="1">
      <c r="L656" s="164"/>
      <c r="N656" s="151"/>
    </row>
    <row r="657" ht="15.75" customHeight="1">
      <c r="L657" s="164"/>
      <c r="N657" s="151"/>
    </row>
    <row r="658" ht="15.75" customHeight="1">
      <c r="L658" s="164"/>
      <c r="N658" s="151"/>
    </row>
    <row r="659" ht="15.75" customHeight="1">
      <c r="L659" s="164"/>
      <c r="N659" s="151"/>
    </row>
    <row r="660" ht="15.75" customHeight="1">
      <c r="L660" s="164"/>
      <c r="N660" s="151"/>
    </row>
    <row r="661" ht="15.75" customHeight="1">
      <c r="L661" s="164"/>
      <c r="N661" s="151"/>
    </row>
    <row r="662" ht="15.75" customHeight="1">
      <c r="L662" s="164"/>
      <c r="N662" s="151"/>
    </row>
    <row r="663" ht="15.75" customHeight="1">
      <c r="L663" s="164"/>
      <c r="N663" s="151"/>
    </row>
    <row r="664" ht="15.75" customHeight="1">
      <c r="L664" s="164"/>
      <c r="N664" s="151"/>
    </row>
    <row r="665" ht="15.75" customHeight="1">
      <c r="L665" s="164"/>
      <c r="N665" s="151"/>
    </row>
    <row r="666" ht="15.75" customHeight="1">
      <c r="L666" s="164"/>
      <c r="N666" s="151"/>
    </row>
    <row r="667" ht="15.75" customHeight="1">
      <c r="L667" s="164"/>
      <c r="N667" s="151"/>
    </row>
    <row r="668" ht="15.75" customHeight="1">
      <c r="L668" s="164"/>
      <c r="N668" s="151"/>
    </row>
    <row r="669" ht="15.75" customHeight="1">
      <c r="L669" s="164"/>
      <c r="N669" s="151"/>
    </row>
    <row r="670" ht="15.75" customHeight="1">
      <c r="L670" s="164"/>
      <c r="N670" s="151"/>
    </row>
    <row r="671" ht="15.75" customHeight="1">
      <c r="L671" s="164"/>
      <c r="N671" s="151"/>
    </row>
    <row r="672" ht="15.75" customHeight="1">
      <c r="L672" s="164"/>
      <c r="N672" s="151"/>
    </row>
    <row r="673" ht="15.75" customHeight="1">
      <c r="L673" s="164"/>
      <c r="N673" s="151"/>
    </row>
    <row r="674" ht="15.75" customHeight="1">
      <c r="L674" s="164"/>
      <c r="N674" s="151"/>
    </row>
    <row r="675" ht="15.75" customHeight="1">
      <c r="L675" s="164"/>
      <c r="N675" s="151"/>
    </row>
    <row r="676" ht="15.75" customHeight="1">
      <c r="L676" s="164"/>
      <c r="N676" s="151"/>
    </row>
    <row r="677" ht="15.75" customHeight="1">
      <c r="L677" s="164"/>
      <c r="N677" s="151"/>
    </row>
    <row r="678" ht="15.75" customHeight="1">
      <c r="L678" s="164"/>
      <c r="N678" s="151"/>
    </row>
    <row r="679" ht="15.75" customHeight="1">
      <c r="L679" s="164"/>
      <c r="N679" s="151"/>
    </row>
    <row r="680" ht="15.75" customHeight="1">
      <c r="L680" s="164"/>
      <c r="N680" s="151"/>
    </row>
    <row r="681" ht="15.75" customHeight="1">
      <c r="L681" s="164"/>
      <c r="N681" s="151"/>
    </row>
    <row r="682" ht="15.75" customHeight="1">
      <c r="L682" s="164"/>
      <c r="N682" s="151"/>
    </row>
    <row r="683" ht="15.75" customHeight="1">
      <c r="L683" s="164"/>
      <c r="N683" s="151"/>
    </row>
    <row r="684" ht="15.75" customHeight="1">
      <c r="L684" s="164"/>
      <c r="N684" s="151"/>
    </row>
    <row r="685" ht="15.75" customHeight="1">
      <c r="L685" s="164"/>
      <c r="N685" s="151"/>
    </row>
    <row r="686" ht="15.75" customHeight="1">
      <c r="L686" s="164"/>
      <c r="N686" s="151"/>
    </row>
    <row r="687" ht="15.75" customHeight="1">
      <c r="L687" s="164"/>
      <c r="N687" s="151"/>
    </row>
    <row r="688" ht="15.75" customHeight="1">
      <c r="L688" s="164"/>
      <c r="N688" s="151"/>
    </row>
    <row r="689" ht="15.75" customHeight="1">
      <c r="L689" s="164"/>
      <c r="N689" s="151"/>
    </row>
    <row r="690" ht="15.75" customHeight="1">
      <c r="L690" s="164"/>
      <c r="N690" s="151"/>
    </row>
    <row r="691" ht="15.75" customHeight="1">
      <c r="L691" s="164"/>
      <c r="N691" s="151"/>
    </row>
    <row r="692" ht="15.75" customHeight="1">
      <c r="L692" s="164"/>
      <c r="N692" s="151"/>
    </row>
    <row r="693" ht="15.75" customHeight="1">
      <c r="L693" s="164"/>
      <c r="N693" s="151"/>
    </row>
    <row r="694" ht="15.75" customHeight="1">
      <c r="L694" s="164"/>
      <c r="N694" s="151"/>
    </row>
    <row r="695" ht="15.75" customHeight="1">
      <c r="L695" s="164"/>
      <c r="N695" s="151"/>
    </row>
    <row r="696" ht="15.75" customHeight="1">
      <c r="L696" s="164"/>
      <c r="N696" s="151"/>
    </row>
    <row r="697" ht="15.75" customHeight="1">
      <c r="L697" s="164"/>
      <c r="N697" s="151"/>
    </row>
    <row r="698" ht="15.75" customHeight="1">
      <c r="L698" s="164"/>
      <c r="N698" s="151"/>
    </row>
    <row r="699" ht="15.75" customHeight="1">
      <c r="L699" s="164"/>
      <c r="N699" s="151"/>
    </row>
    <row r="700" ht="15.75" customHeight="1">
      <c r="L700" s="164"/>
      <c r="N700" s="151"/>
    </row>
    <row r="701" ht="15.75" customHeight="1">
      <c r="L701" s="164"/>
      <c r="N701" s="151"/>
    </row>
    <row r="702" ht="15.75" customHeight="1">
      <c r="L702" s="164"/>
      <c r="N702" s="151"/>
    </row>
    <row r="703" ht="15.75" customHeight="1">
      <c r="L703" s="164"/>
      <c r="N703" s="151"/>
    </row>
    <row r="704" ht="15.75" customHeight="1">
      <c r="L704" s="164"/>
      <c r="N704" s="151"/>
    </row>
    <row r="705" ht="15.75" customHeight="1">
      <c r="L705" s="164"/>
      <c r="N705" s="151"/>
    </row>
    <row r="706" ht="15.75" customHeight="1">
      <c r="L706" s="164"/>
      <c r="N706" s="151"/>
    </row>
    <row r="707" ht="15.75" customHeight="1">
      <c r="L707" s="164"/>
      <c r="N707" s="151"/>
    </row>
    <row r="708" ht="15.75" customHeight="1">
      <c r="L708" s="164"/>
      <c r="N708" s="151"/>
    </row>
    <row r="709" ht="15.75" customHeight="1">
      <c r="L709" s="164"/>
      <c r="N709" s="151"/>
    </row>
    <row r="710" ht="15.75" customHeight="1">
      <c r="L710" s="164"/>
      <c r="N710" s="151"/>
    </row>
    <row r="711" ht="15.75" customHeight="1">
      <c r="L711" s="164"/>
      <c r="N711" s="151"/>
    </row>
    <row r="712" ht="15.75" customHeight="1">
      <c r="L712" s="164"/>
      <c r="N712" s="151"/>
    </row>
    <row r="713" ht="15.75" customHeight="1">
      <c r="L713" s="164"/>
      <c r="N713" s="151"/>
    </row>
    <row r="714" ht="15.75" customHeight="1">
      <c r="L714" s="164"/>
      <c r="N714" s="151"/>
    </row>
    <row r="715" ht="15.75" customHeight="1">
      <c r="L715" s="164"/>
      <c r="N715" s="151"/>
    </row>
    <row r="716" ht="15.75" customHeight="1">
      <c r="L716" s="164"/>
      <c r="N716" s="151"/>
    </row>
    <row r="717" ht="15.75" customHeight="1">
      <c r="L717" s="164"/>
      <c r="N717" s="151"/>
    </row>
    <row r="718" ht="15.75" customHeight="1">
      <c r="L718" s="164"/>
      <c r="N718" s="151"/>
    </row>
    <row r="719" ht="15.75" customHeight="1">
      <c r="L719" s="164"/>
      <c r="N719" s="151"/>
    </row>
    <row r="720" ht="15.75" customHeight="1">
      <c r="L720" s="164"/>
      <c r="N720" s="151"/>
    </row>
    <row r="721" ht="15.75" customHeight="1">
      <c r="L721" s="164"/>
      <c r="N721" s="151"/>
    </row>
    <row r="722" ht="15.75" customHeight="1">
      <c r="L722" s="164"/>
      <c r="N722" s="151"/>
    </row>
    <row r="723" ht="15.75" customHeight="1">
      <c r="L723" s="164"/>
      <c r="N723" s="151"/>
    </row>
    <row r="724" ht="15.75" customHeight="1">
      <c r="L724" s="164"/>
      <c r="N724" s="151"/>
    </row>
    <row r="725" ht="15.75" customHeight="1">
      <c r="L725" s="164"/>
      <c r="N725" s="151"/>
    </row>
    <row r="726" ht="15.75" customHeight="1">
      <c r="L726" s="164"/>
      <c r="N726" s="151"/>
    </row>
    <row r="727" ht="15.75" customHeight="1">
      <c r="L727" s="164"/>
      <c r="N727" s="151"/>
    </row>
    <row r="728" ht="15.75" customHeight="1">
      <c r="L728" s="164"/>
      <c r="N728" s="151"/>
    </row>
    <row r="729" ht="15.75" customHeight="1">
      <c r="L729" s="164"/>
      <c r="N729" s="151"/>
    </row>
    <row r="730" ht="15.75" customHeight="1">
      <c r="L730" s="164"/>
      <c r="N730" s="151"/>
    </row>
    <row r="731" ht="15.75" customHeight="1">
      <c r="L731" s="164"/>
      <c r="N731" s="151"/>
    </row>
    <row r="732" ht="15.75" customHeight="1">
      <c r="L732" s="164"/>
      <c r="N732" s="151"/>
    </row>
    <row r="733" ht="15.75" customHeight="1">
      <c r="L733" s="164"/>
      <c r="N733" s="151"/>
    </row>
    <row r="734" ht="15.75" customHeight="1">
      <c r="L734" s="164"/>
      <c r="N734" s="151"/>
    </row>
    <row r="735" ht="15.75" customHeight="1">
      <c r="L735" s="164"/>
      <c r="N735" s="151"/>
    </row>
    <row r="736" ht="15.75" customHeight="1">
      <c r="L736" s="164"/>
      <c r="N736" s="151"/>
    </row>
    <row r="737" ht="15.75" customHeight="1">
      <c r="L737" s="164"/>
      <c r="N737" s="151"/>
    </row>
    <row r="738" ht="15.75" customHeight="1">
      <c r="L738" s="164"/>
      <c r="N738" s="151"/>
    </row>
    <row r="739" ht="15.75" customHeight="1">
      <c r="L739" s="164"/>
      <c r="N739" s="151"/>
    </row>
    <row r="740" ht="15.75" customHeight="1">
      <c r="L740" s="164"/>
      <c r="N740" s="151"/>
    </row>
    <row r="741" ht="15.75" customHeight="1">
      <c r="L741" s="164"/>
      <c r="N741" s="151"/>
    </row>
    <row r="742" ht="15.75" customHeight="1">
      <c r="L742" s="164"/>
      <c r="N742" s="151"/>
    </row>
    <row r="743" ht="15.75" customHeight="1">
      <c r="L743" s="164"/>
      <c r="N743" s="151"/>
    </row>
    <row r="744" ht="15.75" customHeight="1">
      <c r="L744" s="164"/>
      <c r="N744" s="151"/>
    </row>
    <row r="745" ht="15.75" customHeight="1">
      <c r="L745" s="164"/>
      <c r="N745" s="151"/>
    </row>
    <row r="746" ht="15.75" customHeight="1">
      <c r="L746" s="164"/>
      <c r="N746" s="151"/>
    </row>
    <row r="747" ht="15.75" customHeight="1">
      <c r="L747" s="164"/>
      <c r="N747" s="151"/>
    </row>
    <row r="748" ht="15.75" customHeight="1">
      <c r="L748" s="164"/>
      <c r="N748" s="151"/>
    </row>
    <row r="749" ht="15.75" customHeight="1">
      <c r="L749" s="164"/>
      <c r="N749" s="151"/>
    </row>
    <row r="750" ht="15.75" customHeight="1">
      <c r="L750" s="164"/>
      <c r="N750" s="151"/>
    </row>
    <row r="751" ht="15.75" customHeight="1">
      <c r="L751" s="164"/>
      <c r="N751" s="151"/>
    </row>
    <row r="752" ht="15.75" customHeight="1">
      <c r="L752" s="164"/>
      <c r="N752" s="151"/>
    </row>
    <row r="753" ht="15.75" customHeight="1">
      <c r="L753" s="164"/>
      <c r="N753" s="151"/>
    </row>
    <row r="754" ht="15.75" customHeight="1">
      <c r="L754" s="164"/>
      <c r="N754" s="151"/>
    </row>
    <row r="755" ht="15.75" customHeight="1">
      <c r="L755" s="164"/>
      <c r="N755" s="151"/>
    </row>
    <row r="756" ht="15.75" customHeight="1">
      <c r="L756" s="164"/>
      <c r="N756" s="151"/>
    </row>
    <row r="757" ht="15.75" customHeight="1">
      <c r="L757" s="164"/>
      <c r="N757" s="151"/>
    </row>
    <row r="758" ht="15.75" customHeight="1">
      <c r="L758" s="164"/>
      <c r="N758" s="151"/>
    </row>
    <row r="759" ht="15.75" customHeight="1">
      <c r="L759" s="164"/>
      <c r="N759" s="151"/>
    </row>
    <row r="760" ht="15.75" customHeight="1">
      <c r="L760" s="164"/>
      <c r="N760" s="151"/>
    </row>
    <row r="761" ht="15.75" customHeight="1">
      <c r="L761" s="164"/>
      <c r="N761" s="151"/>
    </row>
    <row r="762" ht="15.75" customHeight="1">
      <c r="L762" s="164"/>
      <c r="N762" s="151"/>
    </row>
    <row r="763" ht="15.75" customHeight="1">
      <c r="L763" s="164"/>
      <c r="N763" s="151"/>
    </row>
    <row r="764" ht="15.75" customHeight="1">
      <c r="L764" s="164"/>
      <c r="N764" s="151"/>
    </row>
    <row r="765" ht="15.75" customHeight="1">
      <c r="L765" s="164"/>
      <c r="N765" s="151"/>
    </row>
    <row r="766" ht="15.75" customHeight="1">
      <c r="L766" s="164"/>
      <c r="N766" s="151"/>
    </row>
    <row r="767" ht="15.75" customHeight="1">
      <c r="L767" s="164"/>
      <c r="N767" s="151"/>
    </row>
    <row r="768" ht="15.75" customHeight="1">
      <c r="L768" s="164"/>
      <c r="N768" s="151"/>
    </row>
    <row r="769" ht="15.75" customHeight="1">
      <c r="L769" s="164"/>
      <c r="N769" s="151"/>
    </row>
    <row r="770" ht="15.75" customHeight="1">
      <c r="L770" s="164"/>
      <c r="N770" s="151"/>
    </row>
    <row r="771" ht="15.75" customHeight="1">
      <c r="L771" s="164"/>
      <c r="N771" s="151"/>
    </row>
    <row r="772" ht="15.75" customHeight="1">
      <c r="L772" s="164"/>
      <c r="N772" s="151"/>
    </row>
    <row r="773" ht="15.75" customHeight="1">
      <c r="L773" s="164"/>
      <c r="N773" s="151"/>
    </row>
    <row r="774" ht="15.75" customHeight="1">
      <c r="L774" s="164"/>
      <c r="N774" s="151"/>
    </row>
    <row r="775" ht="15.75" customHeight="1">
      <c r="L775" s="164"/>
      <c r="N775" s="151"/>
    </row>
    <row r="776" ht="15.75" customHeight="1">
      <c r="L776" s="164"/>
      <c r="N776" s="151"/>
    </row>
    <row r="777" ht="15.75" customHeight="1">
      <c r="L777" s="164"/>
      <c r="N777" s="151"/>
    </row>
    <row r="778" ht="15.75" customHeight="1">
      <c r="L778" s="164"/>
      <c r="N778" s="151"/>
    </row>
    <row r="779" ht="15.75" customHeight="1">
      <c r="L779" s="164"/>
      <c r="N779" s="151"/>
    </row>
    <row r="780" ht="15.75" customHeight="1">
      <c r="L780" s="164"/>
      <c r="N780" s="151"/>
    </row>
    <row r="781" ht="15.75" customHeight="1">
      <c r="L781" s="164"/>
      <c r="N781" s="151"/>
    </row>
    <row r="782" ht="15.75" customHeight="1">
      <c r="L782" s="164"/>
      <c r="N782" s="151"/>
    </row>
    <row r="783" ht="15.75" customHeight="1">
      <c r="L783" s="164"/>
      <c r="N783" s="151"/>
    </row>
    <row r="784" ht="15.75" customHeight="1">
      <c r="L784" s="164"/>
      <c r="N784" s="151"/>
    </row>
    <row r="785" ht="15.75" customHeight="1">
      <c r="L785" s="164"/>
      <c r="N785" s="151"/>
    </row>
    <row r="786" ht="15.75" customHeight="1">
      <c r="L786" s="164"/>
      <c r="N786" s="151"/>
    </row>
    <row r="787" ht="15.75" customHeight="1">
      <c r="L787" s="164"/>
      <c r="N787" s="151"/>
    </row>
    <row r="788" ht="15.75" customHeight="1">
      <c r="L788" s="164"/>
      <c r="N788" s="151"/>
    </row>
    <row r="789" ht="15.75" customHeight="1">
      <c r="L789" s="164"/>
      <c r="N789" s="151"/>
    </row>
    <row r="790" ht="15.75" customHeight="1">
      <c r="L790" s="164"/>
      <c r="N790" s="151"/>
    </row>
    <row r="791" ht="15.75" customHeight="1">
      <c r="L791" s="164"/>
      <c r="N791" s="151"/>
    </row>
    <row r="792" ht="15.75" customHeight="1">
      <c r="L792" s="164"/>
      <c r="N792" s="151"/>
    </row>
    <row r="793" ht="15.75" customHeight="1">
      <c r="L793" s="164"/>
      <c r="N793" s="151"/>
    </row>
    <row r="794" ht="15.75" customHeight="1">
      <c r="L794" s="164"/>
      <c r="N794" s="151"/>
    </row>
    <row r="795" ht="15.75" customHeight="1">
      <c r="L795" s="164"/>
      <c r="N795" s="151"/>
    </row>
    <row r="796" ht="15.75" customHeight="1">
      <c r="L796" s="164"/>
      <c r="N796" s="151"/>
    </row>
    <row r="797" ht="15.75" customHeight="1">
      <c r="L797" s="164"/>
      <c r="N797" s="151"/>
    </row>
    <row r="798" ht="15.75" customHeight="1">
      <c r="L798" s="164"/>
      <c r="N798" s="151"/>
    </row>
    <row r="799" ht="15.75" customHeight="1">
      <c r="L799" s="164"/>
      <c r="N799" s="151"/>
    </row>
    <row r="800" ht="15.75" customHeight="1">
      <c r="L800" s="164"/>
      <c r="N800" s="151"/>
    </row>
    <row r="801" ht="15.75" customHeight="1">
      <c r="L801" s="164"/>
      <c r="N801" s="151"/>
    </row>
    <row r="802" ht="15.75" customHeight="1">
      <c r="L802" s="164"/>
      <c r="N802" s="151"/>
    </row>
    <row r="803" ht="15.75" customHeight="1">
      <c r="L803" s="164"/>
      <c r="N803" s="151"/>
    </row>
    <row r="804" ht="15.75" customHeight="1">
      <c r="L804" s="164"/>
      <c r="N804" s="151"/>
    </row>
    <row r="805" ht="15.75" customHeight="1">
      <c r="L805" s="164"/>
      <c r="N805" s="151"/>
    </row>
    <row r="806" ht="15.75" customHeight="1">
      <c r="L806" s="164"/>
      <c r="N806" s="151"/>
    </row>
    <row r="807" ht="15.75" customHeight="1">
      <c r="L807" s="164"/>
      <c r="N807" s="151"/>
    </row>
    <row r="808" ht="15.75" customHeight="1">
      <c r="L808" s="164"/>
      <c r="N808" s="151"/>
    </row>
    <row r="809" ht="15.75" customHeight="1">
      <c r="L809" s="164"/>
      <c r="N809" s="151"/>
    </row>
    <row r="810" ht="15.75" customHeight="1">
      <c r="L810" s="164"/>
      <c r="N810" s="151"/>
    </row>
    <row r="811" ht="15.75" customHeight="1">
      <c r="L811" s="164"/>
      <c r="N811" s="151"/>
    </row>
    <row r="812" ht="15.75" customHeight="1">
      <c r="L812" s="164"/>
      <c r="N812" s="151"/>
    </row>
    <row r="813" ht="15.75" customHeight="1">
      <c r="L813" s="164"/>
      <c r="N813" s="151"/>
    </row>
    <row r="814" ht="15.75" customHeight="1">
      <c r="L814" s="164"/>
      <c r="N814" s="151"/>
    </row>
    <row r="815" ht="15.75" customHeight="1">
      <c r="L815" s="164"/>
      <c r="N815" s="151"/>
    </row>
    <row r="816" ht="15.75" customHeight="1">
      <c r="L816" s="164"/>
      <c r="N816" s="151"/>
    </row>
    <row r="817" ht="15.75" customHeight="1">
      <c r="L817" s="164"/>
      <c r="N817" s="151"/>
    </row>
    <row r="818" ht="15.75" customHeight="1">
      <c r="L818" s="164"/>
      <c r="N818" s="151"/>
    </row>
    <row r="819" ht="15.75" customHeight="1">
      <c r="L819" s="164"/>
      <c r="N819" s="151"/>
    </row>
    <row r="820" ht="15.75" customHeight="1">
      <c r="L820" s="164"/>
      <c r="N820" s="151"/>
    </row>
    <row r="821" ht="15.75" customHeight="1">
      <c r="L821" s="164"/>
      <c r="N821" s="151"/>
    </row>
    <row r="822" ht="15.75" customHeight="1">
      <c r="L822" s="164"/>
      <c r="N822" s="151"/>
    </row>
    <row r="823" ht="15.75" customHeight="1">
      <c r="L823" s="164"/>
      <c r="N823" s="151"/>
    </row>
    <row r="824" ht="15.75" customHeight="1">
      <c r="L824" s="164"/>
      <c r="N824" s="151"/>
    </row>
    <row r="825" ht="15.75" customHeight="1">
      <c r="L825" s="164"/>
      <c r="N825" s="151"/>
    </row>
    <row r="826" ht="15.75" customHeight="1">
      <c r="L826" s="164"/>
      <c r="N826" s="151"/>
    </row>
    <row r="827" ht="15.75" customHeight="1">
      <c r="L827" s="164"/>
      <c r="N827" s="151"/>
    </row>
    <row r="828" ht="15.75" customHeight="1">
      <c r="L828" s="164"/>
      <c r="N828" s="151"/>
    </row>
    <row r="829" ht="15.75" customHeight="1">
      <c r="L829" s="164"/>
      <c r="N829" s="151"/>
    </row>
    <row r="830" ht="15.75" customHeight="1">
      <c r="L830" s="164"/>
      <c r="N830" s="151"/>
    </row>
    <row r="831" ht="15.75" customHeight="1">
      <c r="L831" s="164"/>
      <c r="N831" s="151"/>
    </row>
    <row r="832" ht="15.75" customHeight="1">
      <c r="L832" s="164"/>
      <c r="N832" s="151"/>
    </row>
    <row r="833" ht="15.75" customHeight="1">
      <c r="L833" s="164"/>
      <c r="N833" s="151"/>
    </row>
    <row r="834" ht="15.75" customHeight="1">
      <c r="L834" s="164"/>
      <c r="N834" s="151"/>
    </row>
    <row r="835" ht="15.75" customHeight="1">
      <c r="L835" s="164"/>
      <c r="N835" s="151"/>
    </row>
    <row r="836" ht="15.75" customHeight="1">
      <c r="L836" s="164"/>
      <c r="N836" s="151"/>
    </row>
    <row r="837" ht="15.75" customHeight="1">
      <c r="L837" s="164"/>
      <c r="N837" s="151"/>
    </row>
    <row r="838" ht="15.75" customHeight="1">
      <c r="L838" s="164"/>
      <c r="N838" s="151"/>
    </row>
    <row r="839" ht="15.75" customHeight="1">
      <c r="L839" s="164"/>
      <c r="N839" s="151"/>
    </row>
    <row r="840" ht="15.75" customHeight="1">
      <c r="L840" s="164"/>
      <c r="N840" s="151"/>
    </row>
    <row r="841" ht="15.75" customHeight="1">
      <c r="L841" s="164"/>
      <c r="N841" s="151"/>
    </row>
    <row r="842" ht="15.75" customHeight="1">
      <c r="L842" s="164"/>
      <c r="N842" s="151"/>
    </row>
    <row r="843" ht="15.75" customHeight="1">
      <c r="L843" s="164"/>
      <c r="N843" s="151"/>
    </row>
    <row r="844" ht="15.75" customHeight="1">
      <c r="L844" s="164"/>
      <c r="N844" s="151"/>
    </row>
    <row r="845" ht="15.75" customHeight="1">
      <c r="L845" s="164"/>
      <c r="N845" s="151"/>
    </row>
    <row r="846" ht="15.75" customHeight="1">
      <c r="L846" s="164"/>
      <c r="N846" s="151"/>
    </row>
    <row r="847" ht="15.75" customHeight="1">
      <c r="L847" s="164"/>
      <c r="N847" s="151"/>
    </row>
    <row r="848" ht="15.75" customHeight="1">
      <c r="L848" s="164"/>
      <c r="N848" s="151"/>
    </row>
    <row r="849" ht="15.75" customHeight="1">
      <c r="L849" s="164"/>
      <c r="N849" s="151"/>
    </row>
    <row r="850" ht="15.75" customHeight="1">
      <c r="L850" s="164"/>
      <c r="N850" s="151"/>
    </row>
    <row r="851" ht="15.75" customHeight="1">
      <c r="L851" s="164"/>
      <c r="N851" s="151"/>
    </row>
    <row r="852" ht="15.75" customHeight="1">
      <c r="L852" s="164"/>
      <c r="N852" s="151"/>
    </row>
    <row r="853" ht="15.75" customHeight="1">
      <c r="L853" s="164"/>
      <c r="N853" s="151"/>
    </row>
    <row r="854" ht="15.75" customHeight="1">
      <c r="L854" s="164"/>
      <c r="N854" s="151"/>
    </row>
    <row r="855" ht="15.75" customHeight="1">
      <c r="L855" s="164"/>
      <c r="N855" s="151"/>
    </row>
    <row r="856" ht="15.75" customHeight="1">
      <c r="L856" s="164"/>
      <c r="N856" s="151"/>
    </row>
    <row r="857" ht="15.75" customHeight="1">
      <c r="L857" s="164"/>
      <c r="N857" s="151"/>
    </row>
    <row r="858" ht="15.75" customHeight="1">
      <c r="L858" s="164"/>
      <c r="N858" s="151"/>
    </row>
    <row r="859" ht="15.75" customHeight="1">
      <c r="L859" s="164"/>
      <c r="N859" s="151"/>
    </row>
    <row r="860" ht="15.75" customHeight="1">
      <c r="L860" s="164"/>
      <c r="N860" s="151"/>
    </row>
    <row r="861" ht="15.75" customHeight="1">
      <c r="L861" s="164"/>
      <c r="N861" s="151"/>
    </row>
    <row r="862" ht="15.75" customHeight="1">
      <c r="L862" s="164"/>
      <c r="N862" s="151"/>
    </row>
    <row r="863" ht="15.75" customHeight="1">
      <c r="L863" s="164"/>
      <c r="N863" s="151"/>
    </row>
    <row r="864" ht="15.75" customHeight="1">
      <c r="L864" s="164"/>
      <c r="N864" s="151"/>
    </row>
    <row r="865" ht="15.75" customHeight="1">
      <c r="L865" s="164"/>
      <c r="N865" s="151"/>
    </row>
    <row r="866" ht="15.75" customHeight="1">
      <c r="L866" s="164"/>
      <c r="N866" s="151"/>
    </row>
    <row r="867" ht="15.75" customHeight="1">
      <c r="L867" s="164"/>
      <c r="N867" s="151"/>
    </row>
    <row r="868" ht="15.75" customHeight="1">
      <c r="L868" s="164"/>
      <c r="N868" s="151"/>
    </row>
    <row r="869" ht="15.75" customHeight="1">
      <c r="L869" s="164"/>
      <c r="N869" s="151"/>
    </row>
    <row r="870" ht="15.75" customHeight="1">
      <c r="L870" s="164"/>
      <c r="N870" s="151"/>
    </row>
    <row r="871" ht="15.75" customHeight="1">
      <c r="L871" s="164"/>
      <c r="N871" s="151"/>
    </row>
    <row r="872" ht="15.75" customHeight="1">
      <c r="L872" s="164"/>
      <c r="N872" s="151"/>
    </row>
    <row r="873" ht="15.75" customHeight="1">
      <c r="L873" s="164"/>
      <c r="N873" s="151"/>
    </row>
    <row r="874" ht="15.75" customHeight="1">
      <c r="L874" s="164"/>
      <c r="N874" s="151"/>
    </row>
    <row r="875" ht="15.75" customHeight="1">
      <c r="L875" s="164"/>
      <c r="N875" s="151"/>
    </row>
    <row r="876" ht="15.75" customHeight="1">
      <c r="L876" s="164"/>
      <c r="N876" s="151"/>
    </row>
    <row r="877" ht="15.75" customHeight="1">
      <c r="L877" s="164"/>
      <c r="N877" s="151"/>
    </row>
    <row r="878" ht="15.75" customHeight="1">
      <c r="L878" s="164"/>
      <c r="N878" s="151"/>
    </row>
    <row r="879" ht="15.75" customHeight="1">
      <c r="L879" s="164"/>
      <c r="N879" s="151"/>
    </row>
    <row r="880" ht="15.75" customHeight="1">
      <c r="L880" s="164"/>
      <c r="N880" s="151"/>
    </row>
    <row r="881" ht="15.75" customHeight="1">
      <c r="L881" s="164"/>
      <c r="N881" s="151"/>
    </row>
    <row r="882" ht="15.75" customHeight="1">
      <c r="L882" s="164"/>
      <c r="N882" s="151"/>
    </row>
    <row r="883" ht="15.75" customHeight="1">
      <c r="L883" s="164"/>
      <c r="N883" s="151"/>
    </row>
    <row r="884" ht="15.75" customHeight="1">
      <c r="L884" s="164"/>
      <c r="N884" s="151"/>
    </row>
    <row r="885" ht="15.75" customHeight="1">
      <c r="L885" s="164"/>
      <c r="N885" s="151"/>
    </row>
    <row r="886" ht="15.75" customHeight="1">
      <c r="L886" s="164"/>
      <c r="N886" s="151"/>
    </row>
    <row r="887" ht="15.75" customHeight="1">
      <c r="L887" s="164"/>
      <c r="N887" s="151"/>
    </row>
    <row r="888" ht="15.75" customHeight="1">
      <c r="L888" s="164"/>
      <c r="N888" s="151"/>
    </row>
    <row r="889" ht="15.75" customHeight="1">
      <c r="L889" s="164"/>
      <c r="N889" s="151"/>
    </row>
    <row r="890" ht="15.75" customHeight="1">
      <c r="L890" s="164"/>
      <c r="N890" s="151"/>
    </row>
    <row r="891" ht="15.75" customHeight="1">
      <c r="L891" s="164"/>
      <c r="N891" s="151"/>
    </row>
    <row r="892" ht="15.75" customHeight="1">
      <c r="L892" s="164"/>
      <c r="N892" s="151"/>
    </row>
    <row r="893" ht="15.75" customHeight="1">
      <c r="L893" s="164"/>
      <c r="N893" s="151"/>
    </row>
    <row r="894" ht="15.75" customHeight="1">
      <c r="L894" s="164"/>
      <c r="N894" s="151"/>
    </row>
    <row r="895" ht="15.75" customHeight="1">
      <c r="L895" s="164"/>
      <c r="N895" s="151"/>
    </row>
    <row r="896" ht="15.75" customHeight="1">
      <c r="L896" s="164"/>
      <c r="N896" s="151"/>
    </row>
    <row r="897" ht="15.75" customHeight="1">
      <c r="L897" s="164"/>
      <c r="N897" s="151"/>
    </row>
    <row r="898" ht="15.75" customHeight="1">
      <c r="L898" s="164"/>
      <c r="N898" s="151"/>
    </row>
    <row r="899" ht="15.75" customHeight="1">
      <c r="L899" s="164"/>
      <c r="N899" s="151"/>
    </row>
    <row r="900" ht="15.75" customHeight="1">
      <c r="L900" s="164"/>
      <c r="N900" s="151"/>
    </row>
    <row r="901" ht="15.75" customHeight="1">
      <c r="L901" s="164"/>
      <c r="N901" s="151"/>
    </row>
    <row r="902" ht="15.75" customHeight="1">
      <c r="L902" s="164"/>
      <c r="N902" s="151"/>
    </row>
    <row r="903" ht="15.75" customHeight="1">
      <c r="L903" s="164"/>
      <c r="N903" s="151"/>
    </row>
    <row r="904" ht="15.75" customHeight="1">
      <c r="L904" s="164"/>
      <c r="N904" s="151"/>
    </row>
    <row r="905" ht="15.75" customHeight="1">
      <c r="L905" s="164"/>
      <c r="N905" s="151"/>
    </row>
    <row r="906" ht="15.75" customHeight="1">
      <c r="L906" s="164"/>
      <c r="N906" s="151"/>
    </row>
    <row r="907" ht="15.75" customHeight="1">
      <c r="L907" s="164"/>
      <c r="N907" s="151"/>
    </row>
    <row r="908" ht="15.75" customHeight="1">
      <c r="L908" s="164"/>
      <c r="N908" s="151"/>
    </row>
    <row r="909" ht="15.75" customHeight="1">
      <c r="L909" s="164"/>
      <c r="N909" s="151"/>
    </row>
    <row r="910" ht="15.75" customHeight="1">
      <c r="L910" s="164"/>
      <c r="N910" s="151"/>
    </row>
    <row r="911" ht="15.75" customHeight="1">
      <c r="L911" s="164"/>
      <c r="N911" s="151"/>
    </row>
    <row r="912" ht="15.75" customHeight="1">
      <c r="L912" s="164"/>
      <c r="N912" s="151"/>
    </row>
    <row r="913" ht="15.75" customHeight="1">
      <c r="L913" s="164"/>
      <c r="N913" s="151"/>
    </row>
    <row r="914" ht="15.75" customHeight="1">
      <c r="L914" s="164"/>
      <c r="N914" s="151"/>
    </row>
    <row r="915" ht="15.75" customHeight="1">
      <c r="L915" s="164"/>
      <c r="N915" s="151"/>
    </row>
    <row r="916" ht="15.75" customHeight="1">
      <c r="L916" s="164"/>
      <c r="N916" s="151"/>
    </row>
    <row r="917" ht="15.75" customHeight="1">
      <c r="L917" s="164"/>
      <c r="N917" s="151"/>
    </row>
    <row r="918" ht="15.75" customHeight="1">
      <c r="L918" s="164"/>
      <c r="N918" s="151"/>
    </row>
    <row r="919" ht="15.75" customHeight="1">
      <c r="L919" s="164"/>
      <c r="N919" s="151"/>
    </row>
    <row r="920" ht="15.75" customHeight="1">
      <c r="L920" s="164"/>
      <c r="N920" s="151"/>
    </row>
    <row r="921" ht="15.75" customHeight="1">
      <c r="L921" s="164"/>
      <c r="N921" s="151"/>
    </row>
    <row r="922" ht="15.75" customHeight="1">
      <c r="L922" s="164"/>
      <c r="N922" s="151"/>
    </row>
    <row r="923" ht="15.75" customHeight="1">
      <c r="L923" s="164"/>
      <c r="N923" s="151"/>
    </row>
    <row r="924" ht="15.75" customHeight="1">
      <c r="L924" s="164"/>
      <c r="N924" s="151"/>
    </row>
    <row r="925" ht="15.75" customHeight="1">
      <c r="L925" s="164"/>
      <c r="N925" s="151"/>
    </row>
    <row r="926" ht="15.75" customHeight="1">
      <c r="L926" s="164"/>
      <c r="N926" s="151"/>
    </row>
    <row r="927" ht="15.75" customHeight="1">
      <c r="L927" s="164"/>
      <c r="N927" s="151"/>
    </row>
    <row r="928" ht="15.75" customHeight="1">
      <c r="L928" s="164"/>
      <c r="N928" s="151"/>
    </row>
    <row r="929" ht="15.75" customHeight="1">
      <c r="L929" s="164"/>
      <c r="N929" s="151"/>
    </row>
    <row r="930" ht="15.75" customHeight="1">
      <c r="L930" s="164"/>
      <c r="N930" s="151"/>
    </row>
    <row r="931" ht="15.75" customHeight="1">
      <c r="L931" s="164"/>
      <c r="N931" s="151"/>
    </row>
    <row r="932" ht="15.75" customHeight="1">
      <c r="L932" s="164"/>
      <c r="N932" s="151"/>
    </row>
    <row r="933" ht="15.75" customHeight="1">
      <c r="L933" s="164"/>
      <c r="N933" s="151"/>
    </row>
    <row r="934" ht="15.75" customHeight="1">
      <c r="L934" s="164"/>
      <c r="N934" s="151"/>
    </row>
    <row r="935" ht="15.75" customHeight="1">
      <c r="L935" s="164"/>
      <c r="N935" s="151"/>
    </row>
    <row r="936" ht="15.75" customHeight="1">
      <c r="L936" s="164"/>
      <c r="N936" s="151"/>
    </row>
    <row r="937" ht="15.75" customHeight="1">
      <c r="L937" s="164"/>
      <c r="N937" s="151"/>
    </row>
    <row r="938" ht="15.75" customHeight="1">
      <c r="L938" s="164"/>
      <c r="N938" s="151"/>
    </row>
    <row r="939" ht="15.75" customHeight="1">
      <c r="L939" s="164"/>
      <c r="N939" s="151"/>
    </row>
    <row r="940" ht="15.75" customHeight="1">
      <c r="L940" s="164"/>
      <c r="N940" s="151"/>
    </row>
    <row r="941" ht="15.75" customHeight="1">
      <c r="L941" s="164"/>
      <c r="N941" s="151"/>
    </row>
    <row r="942" ht="15.75" customHeight="1">
      <c r="L942" s="164"/>
      <c r="N942" s="151"/>
    </row>
    <row r="943" ht="15.75" customHeight="1">
      <c r="L943" s="164"/>
      <c r="N943" s="151"/>
    </row>
    <row r="944" ht="15.75" customHeight="1">
      <c r="L944" s="164"/>
      <c r="N944" s="151"/>
    </row>
    <row r="945" ht="15.75" customHeight="1">
      <c r="L945" s="164"/>
      <c r="N945" s="151"/>
    </row>
    <row r="946" ht="15.75" customHeight="1">
      <c r="L946" s="164"/>
      <c r="N946" s="151"/>
    </row>
    <row r="947" ht="15.75" customHeight="1">
      <c r="L947" s="164"/>
      <c r="N947" s="151"/>
    </row>
    <row r="948" ht="15.75" customHeight="1">
      <c r="L948" s="164"/>
      <c r="N948" s="151"/>
    </row>
    <row r="949" ht="15.75" customHeight="1">
      <c r="L949" s="164"/>
      <c r="N949" s="151"/>
    </row>
    <row r="950" ht="15.75" customHeight="1">
      <c r="L950" s="164"/>
      <c r="N950" s="151"/>
    </row>
    <row r="951" ht="15.75" customHeight="1">
      <c r="L951" s="164"/>
      <c r="N951" s="151"/>
    </row>
    <row r="952" ht="15.75" customHeight="1">
      <c r="L952" s="164"/>
      <c r="N952" s="151"/>
    </row>
    <row r="953" ht="15.75" customHeight="1">
      <c r="L953" s="164"/>
      <c r="N953" s="151"/>
    </row>
    <row r="954" ht="15.75" customHeight="1">
      <c r="L954" s="164"/>
      <c r="N954" s="151"/>
    </row>
    <row r="955" ht="15.75" customHeight="1">
      <c r="L955" s="164"/>
      <c r="N955" s="151"/>
    </row>
    <row r="956" ht="15.75" customHeight="1">
      <c r="L956" s="164"/>
      <c r="N956" s="151"/>
    </row>
    <row r="957" ht="15.75" customHeight="1">
      <c r="L957" s="164"/>
      <c r="N957" s="151"/>
    </row>
    <row r="958" ht="15.75" customHeight="1">
      <c r="L958" s="164"/>
      <c r="N958" s="151"/>
    </row>
    <row r="959" ht="15.75" customHeight="1">
      <c r="L959" s="164"/>
      <c r="N959" s="151"/>
    </row>
    <row r="960" ht="15.75" customHeight="1">
      <c r="L960" s="164"/>
      <c r="N960" s="151"/>
    </row>
    <row r="961" ht="15.75" customHeight="1">
      <c r="L961" s="164"/>
      <c r="N961" s="151"/>
    </row>
    <row r="962" ht="15.75" customHeight="1">
      <c r="L962" s="164"/>
      <c r="N962" s="151"/>
    </row>
    <row r="963" ht="15.75" customHeight="1">
      <c r="L963" s="164"/>
      <c r="N963" s="151"/>
    </row>
    <row r="964" ht="15.75" customHeight="1">
      <c r="L964" s="164"/>
      <c r="N964" s="151"/>
    </row>
    <row r="965" ht="15.75" customHeight="1">
      <c r="L965" s="164"/>
      <c r="N965" s="151"/>
    </row>
    <row r="966" ht="15.75" customHeight="1">
      <c r="L966" s="164"/>
      <c r="N966" s="151"/>
    </row>
    <row r="967" ht="15.75" customHeight="1">
      <c r="L967" s="164"/>
      <c r="N967" s="151"/>
    </row>
    <row r="968" ht="15.75" customHeight="1">
      <c r="L968" s="164"/>
      <c r="N968" s="151"/>
    </row>
    <row r="969" ht="15.75" customHeight="1">
      <c r="L969" s="164"/>
      <c r="N969" s="151"/>
    </row>
    <row r="970" ht="15.75" customHeight="1">
      <c r="L970" s="164"/>
      <c r="N970" s="151"/>
    </row>
    <row r="971" ht="15.75" customHeight="1">
      <c r="L971" s="164"/>
      <c r="N971" s="151"/>
    </row>
    <row r="972" ht="15.75" customHeight="1">
      <c r="L972" s="164"/>
      <c r="N972" s="151"/>
    </row>
    <row r="973" ht="15.75" customHeight="1">
      <c r="L973" s="164"/>
      <c r="N973" s="151"/>
    </row>
    <row r="974" ht="15.75" customHeight="1">
      <c r="L974" s="164"/>
      <c r="N974" s="151"/>
    </row>
    <row r="975" ht="15.75" customHeight="1">
      <c r="L975" s="164"/>
      <c r="N975" s="151"/>
    </row>
    <row r="976" ht="15.75" customHeight="1">
      <c r="L976" s="164"/>
      <c r="N976" s="151"/>
    </row>
    <row r="977" ht="15.75" customHeight="1">
      <c r="L977" s="164"/>
      <c r="N977" s="151"/>
    </row>
    <row r="978" ht="15.75" customHeight="1">
      <c r="L978" s="164"/>
      <c r="N978" s="151"/>
    </row>
    <row r="979" ht="15.75" customHeight="1">
      <c r="L979" s="164"/>
      <c r="N979" s="151"/>
    </row>
    <row r="980" ht="15.75" customHeight="1">
      <c r="L980" s="164"/>
      <c r="N980" s="151"/>
    </row>
    <row r="981" ht="15.75" customHeight="1">
      <c r="L981" s="164"/>
      <c r="N981" s="151"/>
    </row>
    <row r="982" ht="15.75" customHeight="1">
      <c r="L982" s="164"/>
      <c r="N982" s="151"/>
    </row>
    <row r="983" ht="15.75" customHeight="1">
      <c r="L983" s="164"/>
      <c r="N983" s="151"/>
    </row>
    <row r="984" ht="15.75" customHeight="1">
      <c r="L984" s="164"/>
      <c r="N984" s="151"/>
    </row>
    <row r="985" ht="15.75" customHeight="1">
      <c r="L985" s="164"/>
      <c r="N985" s="151"/>
    </row>
    <row r="986" ht="15.75" customHeight="1">
      <c r="L986" s="164"/>
      <c r="N986" s="151"/>
    </row>
    <row r="987" ht="15.75" customHeight="1">
      <c r="L987" s="164"/>
      <c r="N987" s="151"/>
    </row>
    <row r="988" ht="15.75" customHeight="1">
      <c r="L988" s="164"/>
      <c r="N988" s="151"/>
    </row>
    <row r="989" ht="15.75" customHeight="1">
      <c r="L989" s="164"/>
      <c r="N989" s="151"/>
    </row>
    <row r="990" ht="15.75" customHeight="1">
      <c r="L990" s="164"/>
      <c r="N990" s="151"/>
    </row>
    <row r="991" ht="15.75" customHeight="1">
      <c r="L991" s="164"/>
      <c r="N991" s="151"/>
    </row>
    <row r="992" ht="15.75" customHeight="1">
      <c r="L992" s="164"/>
      <c r="N992" s="151"/>
    </row>
    <row r="993" ht="15.75" customHeight="1">
      <c r="L993" s="164"/>
      <c r="N993" s="151"/>
    </row>
    <row r="994" ht="15.75" customHeight="1">
      <c r="L994" s="164"/>
      <c r="N994" s="151"/>
    </row>
    <row r="995" ht="15.75" customHeight="1">
      <c r="L995" s="164"/>
      <c r="N995" s="151"/>
    </row>
    <row r="996" ht="15.75" customHeight="1">
      <c r="L996" s="164"/>
      <c r="N996" s="151"/>
    </row>
    <row r="997" ht="15.75" customHeight="1">
      <c r="L997" s="164"/>
      <c r="N997" s="151"/>
    </row>
    <row r="998" ht="15.75" customHeight="1">
      <c r="L998" s="164"/>
      <c r="N998" s="151"/>
    </row>
    <row r="999" ht="15.75" customHeight="1">
      <c r="L999" s="164"/>
      <c r="N999" s="151"/>
    </row>
    <row r="1000" ht="15.75" customHeight="1">
      <c r="L1000" s="164"/>
      <c r="N1000" s="151"/>
    </row>
  </sheetData>
  <autoFilter ref="$A$1:$R$97"/>
  <mergeCells count="56">
    <mergeCell ref="G104:P104"/>
    <mergeCell ref="Q104:S104"/>
    <mergeCell ref="T104:U104"/>
    <mergeCell ref="V104:X104"/>
    <mergeCell ref="Z104:AA104"/>
    <mergeCell ref="AB104:AC104"/>
    <mergeCell ref="AD104:AE104"/>
    <mergeCell ref="A104:F104"/>
    <mergeCell ref="A105:F105"/>
    <mergeCell ref="G105:P105"/>
    <mergeCell ref="Q105:S105"/>
    <mergeCell ref="T105:U105"/>
    <mergeCell ref="V105:X105"/>
    <mergeCell ref="Z105:AA105"/>
    <mergeCell ref="G100:P100"/>
    <mergeCell ref="Q100:S100"/>
    <mergeCell ref="T100:U100"/>
    <mergeCell ref="V100:X100"/>
    <mergeCell ref="Z100:AA100"/>
    <mergeCell ref="AB100:AC100"/>
    <mergeCell ref="AD100:AE100"/>
    <mergeCell ref="AB101:AC101"/>
    <mergeCell ref="AD101:AE101"/>
    <mergeCell ref="A100:F100"/>
    <mergeCell ref="A101:F101"/>
    <mergeCell ref="G101:P101"/>
    <mergeCell ref="Q101:S101"/>
    <mergeCell ref="T101:U101"/>
    <mergeCell ref="V101:X101"/>
    <mergeCell ref="Z101:AA101"/>
    <mergeCell ref="G102:P102"/>
    <mergeCell ref="Q102:S102"/>
    <mergeCell ref="T102:U102"/>
    <mergeCell ref="V102:X102"/>
    <mergeCell ref="Z102:AA102"/>
    <mergeCell ref="AB102:AC102"/>
    <mergeCell ref="AD102:AE102"/>
    <mergeCell ref="AB103:AC103"/>
    <mergeCell ref="AD103:AE103"/>
    <mergeCell ref="A102:F102"/>
    <mergeCell ref="A103:F103"/>
    <mergeCell ref="G103:P103"/>
    <mergeCell ref="Q103:S103"/>
    <mergeCell ref="T103:U103"/>
    <mergeCell ref="V103:X103"/>
    <mergeCell ref="Z103:AA103"/>
    <mergeCell ref="Z106:AA106"/>
    <mergeCell ref="AB106:AC106"/>
    <mergeCell ref="AB105:AC105"/>
    <mergeCell ref="AD105:AE105"/>
    <mergeCell ref="A106:F106"/>
    <mergeCell ref="G106:P106"/>
    <mergeCell ref="Q106:S106"/>
    <mergeCell ref="T106:U106"/>
    <mergeCell ref="V106:X106"/>
    <mergeCell ref="AD106:AE10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2017-08-08T17:15:24Z</dcterms:created>
  <dc:creator>Beth Angelo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0x01010089D39C1B050064478C8F7E80BC7A636F</vt:lpwstr>
  </property>
  <property fmtid="{D5CDD505-2E9C-101B-9397-08002B2CF9AE}" pid="3" name="AuthorIds_UIVersion_4096">
    <vt:lpwstr>6</vt:lpwstr>
  </property>
  <property fmtid="{D5CDD505-2E9C-101B-9397-08002B2CF9AE}" pid="4" name="AuthorIds_UIVersion_18432">
    <vt:lpwstr>17</vt:lpwstr>
  </property>
</Properties>
</file>